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310b3193f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c193246549428b"/>
    <x:sheet xmlns:r="http://schemas.openxmlformats.org/officeDocument/2006/relationships" name="Manifest" sheetId="2" r:id="R6322a380738140df"/>
    <x:sheet xmlns:r="http://schemas.openxmlformats.org/officeDocument/2006/relationships" name="Metadata candidates" sheetId="3" r:id="R5c27e62360654d8a"/>
    <x:sheet xmlns:r="http://schemas.openxmlformats.org/officeDocument/2006/relationships" name="Sources" sheetId="4" r:id="Raae74d0321124b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color rgb="FF422006"/>
      <x:name val="Carlito"/>
    </x:font>
    <x:font>
      <x:b/>
      <x:sz val="11"/>
      <x:color rgb="FF173A1A"/>
      <x:name val="Carlito"/>
    </x:font>
    <x:font>
      <x:i/>
      <x:sz val="11"/>
      <x:color rgb="FF5F45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1A21"/>
      </x:patternFill>
    </x:fill>
    <x:fill>
      <x:patternFill patternType="solid">
        <x:fgColor rgb="FF325D88"/>
      </x:patternFill>
    </x:fill>
    <x:fill>
      <x:patternFill patternType="solid">
        <x:fgColor rgb="FFE9EEF5"/>
      </x:patternFill>
    </x:fill>
    <x:fill>
      <x:patternFill patternType="solid">
        <x:fgColor rgb="FFF6C453"/>
      </x:patternFill>
    </x:fill>
    <x:fill>
      <x:patternFill patternType="solid">
        <x:fgColor rgb="FFDCE8D5"/>
      </x:patternFill>
    </x:fill>
    <x:fill>
      <x:patternFill patternType="solid">
        <x:fgColor rgb="FFFFF4CE"/>
      </x:patternFill>
    </x:fill>
  </x:fills>
  <x:borders count="10">
    <x:border/>
    <x:border>
      <x:left style="thin">
        <x:color rgb="FF7393B3"/>
      </x:left>
      <x:top style="thin">
        <x:color rgb="FF7393B3"/>
      </x:top>
      <x:bottom style="thin">
        <x:color rgb="FF7393B3"/>
      </x:bottom>
    </x:border>
    <x:border>
      <x:right style="thin">
        <x:color rgb="FF7393B3"/>
      </x:right>
      <x:top style="thin">
        <x:color rgb="FF7393B3"/>
      </x:top>
      <x:bottom style="thin">
        <x:color rgb="FF7393B3"/>
      </x:bottom>
    </x:border>
    <x:border>
      <x:bottom style="double">
        <x:color rgb="FF4C7A4F"/>
      </x:bottom>
    </x:border>
    <x:border>
      <x:left style="thin">
        <x:color rgb="FF3D4552"/>
      </x:left>
      <x:top style="thin">
        <x:color rgb="FF3D4552"/>
      </x:top>
      <x:bottom style="thin">
        <x:color rgb="FF3D4552"/>
      </x:bottom>
    </x:border>
    <x:border>
      <x:top style="thin">
        <x:color rgb="FF3D4552"/>
      </x:top>
      <x:bottom style="thin">
        <x:color rgb="FF3D4552"/>
      </x:bottom>
    </x:border>
    <x:border>
      <x:right style="thin">
        <x:color rgb="FF3D4552"/>
      </x:right>
      <x:top style="thin">
        <x:color rgb="FF3D4552"/>
      </x:top>
      <x:bottom style="thin">
        <x:color rgb="FF3D4552"/>
      </x:bottom>
    </x:border>
    <x:border>
      <x:bottom style="thin">
        <x:color rgb="FFE1E5EA"/>
      </x:bottom>
    </x:border>
    <x:border>
      <x:top style="thin">
        <x:color rgb="FFE1E5EA"/>
      </x:top>
      <x:bottom style="thin">
        <x:color rgb="FFE1E5EA"/>
      </x:bottom>
    </x:border>
    <x:border>
      <x:top style="thin">
        <x:color rgb="FFE1E5EA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9" xfId="0" applyNumberFormat="1" applyFont="1" applyFill="1" applyBorder="1"/>
    <x:xf numFmtId="20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73A1A"/>
      </x:font>
      <x:fill>
        <x:patternFill patternType="solid">
          <x:bgColor rgb="FFDCE8D5"/>
        </x:patternFill>
      </x:fill>
    </x:dxf>
    <x:dxf>
      <x:font>
        <x:color rgb="FF5F4500"/>
      </x:font>
      <x:fill>
        <x:patternFill patternType="solid">
          <x:bgColor rgb="FFFFF4CE"/>
        </x:patternFill>
      </x:fill>
    </x:dxf>
    <x:dxf>
      <x:font>
        <x:color rgb="FF7F1D1D"/>
      </x:font>
      <x:fill>
        <x:patternFill patternType="solid">
          <x:bgColor rgb="FFFDE2E2"/>
        </x:patternFill>
      </x:fill>
    </x:dxf>
    <x:dxf>
      <x:font>
        <x:b/>
        <x:color rgb="FF7F1D1D"/>
      </x:font>
      <x:fill>
        <x:patternFill patternType="solid">
          <x:bgColor rgb="FFFDE2E2"/>
        </x:patternFill>
      </x:fill>
    </x:dxf>
    <x:dxf>
      <x:font>
        <x:b/>
        <x:color rgb="FF422006"/>
      </x:font>
      <x:fill>
        <x:patternFill patternType="solid">
          <x:bgColor rgb="FFF6C45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58f5fdd66645ea" /><Relationship Type="http://schemas.openxmlformats.org/officeDocument/2006/relationships/theme" Target="/xl/theme/theme1.xml" Id="R0c12f85bfd064a86" /><Relationship Type="http://schemas.openxmlformats.org/officeDocument/2006/relationships/sharedStrings" Target="/xl/sharedStrings.xml" Id="R6a1c86bc03fc40a8" /><Relationship Type="http://schemas.openxmlformats.org/officeDocument/2006/relationships/worksheet" Target="/xl/worksheets/sheet1.xml" Id="R66c193246549428b" /><Relationship Type="http://schemas.openxmlformats.org/officeDocument/2006/relationships/worksheet" Target="/xl/worksheets/sheet2.xml" Id="R6322a380738140df" /><Relationship Type="http://schemas.openxmlformats.org/officeDocument/2006/relationships/worksheet" Target="/xl/worksheets/sheet3.xml" Id="R5c27e62360654d8a" /><Relationship Type="http://schemas.openxmlformats.org/officeDocument/2006/relationships/worksheet" Target="/xl/worksheets/sheet4.xml" Id="Raae74d0321124bcd" /><Relationship Type="http://schemas.microsoft.com/office/2017/10/relationships/person" Target="/xl/persons/person.xml" Id="Re05dc6f535f04ba1" /></Relationships>
</file>

<file path=xl/persons/person.xml><?xml version="1.0" encoding="utf-8"?>
<xltc:personList xmlns:xltc="http://schemas.microsoft.com/office/spreadsheetml/2018/threadedcomments">
  <xltc:person displayName="William" id="{54485277-9156-4DA8-8276-0FAEAFA54630}"/>
</xltc:personList>
</file>

<file path=xl/tables/table1.xml><?xml version="1.0" encoding="utf-8"?>
<x:table xmlns:x="http://schemas.openxmlformats.org/spreadsheetml/2006/main" id="1" name="ProvisionalManifest" displayName="ProvisionalManifest" ref="A1:S221" headerRowCount="1" totalsRowCount="0" totalsRowShown="0">
  <x:tableColumns count="19">
    <x:tableColumn id="1" name="position"/>
    <x:tableColumn id="2" name="block_id"/>
    <x:tableColumn id="3" name="release_year"/>
    <x:tableColumn id="4" name="artist"/>
    <x:tableColumn id="5" name="title"/>
    <x:tableColumn id="6" name="intended_version"/>
    <x:tableColumn id="7" name="scene_or_country"/>
    <x:tableColumn id="8" name="route_tags"/>
    <x:tableColumn id="9" name="primary_teaching_job"/>
    <x:tableColumn id="10" name="selection_status"/>
    <x:tableColumn id="11" name="version_verification"/>
    <x:tableColumn id="12" name="soundcloud_status"/>
    <x:tableColumn id="13" name="source_url"/>
    <x:tableColumn id="14" name="notes"/>
    <x:tableColumn id="15" name="geography_scope"/>
    <x:tableColumn id="16" name="representation_flags"/>
    <x:tableColumn id="17" name="women_flag"/>
    <x:tableColumn id="18" name="queer_flag"/>
    <x:tableColumn id="19" name="non_mc_or_live_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adataCandidateTable" displayName="MetadataCandidateTable" ref="A1:L221" headerRowCount="1" totalsRowCount="0" totalsRowShown="0">
  <x:tableColumns count="12">
    <x:tableColumn id="1" name="position"/>
    <x:tableColumn id="2" name="status"/>
    <x:tableColumn id="3" name="expected_year"/>
    <x:tableColumn id="4" name="artist"/>
    <x:tableColumn id="5" name="title"/>
    <x:tableColumn id="6" name="matched_title"/>
    <x:tableColumn id="7" name="matched_artist"/>
    <x:tableColumn id="8" name="first_release_date"/>
    <x:tableColumn id="9" name="year_distance"/>
    <x:tableColumn id="10" name="musicbrainz_url"/>
    <x:tableColumn id="11" name="query_url"/>
    <x:tableColumn id="12" name="authority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dfb713b95346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837ecb98a547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4" max="4" width="12" hidden="0" customWidth="1"/>
    <x:col min="5" max="5" width="17" hidden="0" customWidth="1"/>
    <x:col min="6" max="6" width="17" hidden="0" customWidth="1"/>
  </x:cols>
  <x:sheetData>
    <x:row r="1" ht="30" customHeight="1">
      <x:c r="A1" s="2" t="str">
        <x:v>The Message and the Method — provisional research ledger</x:v>
      </x:c>
      <x:c r="B1" s="2"/>
      <x:c r="C1" s="2"/>
      <x:c r="D1" s="2"/>
      <x:c r="E1" s="2"/>
      <x:c r="F1" s="2"/>
      <x:c r="G1" s="2"/>
      <x:c r="H1" s="2"/>
    </x:row>
    <x:row r="3">
      <x:c r="A3" s="5" t="str">
        <x:v>Metric</x:v>
      </x:c>
      <x:c r="B3" s="6" t="str">
        <x:v>Current value</x:v>
      </x:c>
      <x:c r="D3" s="4" t="str">
        <x:v>Block</x:v>
      </x:c>
      <x:c r="E3" s="4" t="str">
        <x:v>Target</x:v>
      </x:c>
      <x:c r="F3" s="4" t="str">
        <x:v>Provisional rows</x:v>
      </x:c>
    </x:row>
    <x:row r="4">
      <x:c r="A4" s="8" t="str">
        <x:v>Reserved main-route positions</x:v>
      </x:c>
      <x:c r="B4" s="9" t="n">
        <x:f>COUNTA('Manifest'!$A$2:$A$221)</x:f>
        <x:v>220</x:v>
      </x:c>
      <x:c r="D4" t="str">
        <x:v>HH01</x:v>
      </x:c>
      <x:c r="E4" t="n">
        <x:v>12</x:v>
      </x:c>
      <x:c r="F4" t="n">
        <x:f>COUNTIF('Manifest'!$B$2:$B$221,D4)</x:f>
        <x:v>12</x:v>
      </x:c>
    </x:row>
    <x:row r="5">
      <x:c r="A5" s="8" t="str">
        <x:v>Provisional rows</x:v>
      </x:c>
      <x:c r="B5" s="9" t="n">
        <x:f>COUNTIF('Manifest'!$J$2:$J$221,"provisional")</x:f>
        <x:v>220</x:v>
      </x:c>
      <x:c r="D5" t="str">
        <x:v>HH02</x:v>
      </x:c>
      <x:c r="E5" t="n">
        <x:v>8</x:v>
      </x:c>
      <x:c r="F5" t="n">
        <x:f>COUNTIF('Manifest'!$B$2:$B$221,D5)</x:f>
        <x:v>8</x:v>
      </x:c>
    </x:row>
    <x:row r="6">
      <x:c r="A6" s="8" t="str">
        <x:v>Accepted rows</x:v>
      </x:c>
      <x:c r="B6" s="9" t="n">
        <x:f>COUNTIF('Manifest'!$J$2:$J$221,"accepted")</x:f>
        <x:v>0</x:v>
      </x:c>
      <x:c r="D6" t="str">
        <x:v>HH03</x:v>
      </x:c>
      <x:c r="E6" t="n">
        <x:v>18</x:v>
      </x:c>
      <x:c r="F6" t="n">
        <x:f>COUNTIF('Manifest'!$B$2:$B$221,D6)</x:f>
        <x:v>18</x:v>
      </x:c>
    </x:row>
    <x:row r="7">
      <x:c r="A7" s="8" t="str">
        <x:v>Metadata verified</x:v>
      </x:c>
      <x:c r="B7" s="9" t="n">
        <x:f>COUNTIF('Manifest'!$K$2:$K$221,"verified")</x:f>
        <x:v>3</x:v>
      </x:c>
      <x:c r="D7" t="str">
        <x:v>HH04</x:v>
      </x:c>
      <x:c r="E7" t="n">
        <x:v>18</x:v>
      </x:c>
      <x:c r="F7" t="n">
        <x:f>COUNTIF('Manifest'!$B$2:$B$221,D7)</x:f>
        <x:v>18</x:v>
      </x:c>
    </x:row>
    <x:row r="8">
      <x:c r="A8" s="8" t="str">
        <x:v>SoundCloud resolved</x:v>
      </x:c>
      <x:c r="B8" s="9" t="n">
        <x:f>COUNTIF('Manifest'!$L$2:$L$221,"resolved")</x:f>
        <x:v>0</x:v>
      </x:c>
      <x:c r="D8" t="str">
        <x:v>HH05</x:v>
      </x:c>
      <x:c r="E8" t="n">
        <x:v>24</x:v>
      </x:c>
      <x:c r="F8" t="n">
        <x:f>COUNTIF('Manifest'!$B$2:$B$221,D8)</x:f>
        <x:v>24</x:v>
      </x:c>
    </x:row>
    <x:row r="9">
      <x:c r="A9" s="8" t="str">
        <x:v>Completion status</x:v>
      </x:c>
      <x:c r="B9" s="11" t="str">
        <x:v>IN RESEARCH</x:v>
      </x:c>
      <x:c r="D9" t="str">
        <x:v>HH06</x:v>
      </x:c>
      <x:c r="E9" t="n">
        <x:v>26</x:v>
      </x:c>
      <x:c r="F9" t="n">
        <x:f>COUNTIF('Manifest'!$B$2:$B$221,D9)</x:f>
        <x:v>26</x:v>
      </x:c>
    </x:row>
    <x:row r="10">
      <x:c r="D10" t="str">
        <x:v>HH07</x:v>
      </x:c>
      <x:c r="E10" t="n">
        <x:v>22</x:v>
      </x:c>
      <x:c r="F10" t="n">
        <x:f>COUNTIF('Manifest'!$B$2:$B$221,D10)</x:f>
        <x:v>22</x:v>
      </x:c>
    </x:row>
    <x:row r="11">
      <x:c r="D11" t="str">
        <x:v>HH08</x:v>
      </x:c>
      <x:c r="E11" t="n">
        <x:v>22</x:v>
      </x:c>
      <x:c r="F11" t="n">
        <x:f>COUNTIF('Manifest'!$B$2:$B$221,D11)</x:f>
        <x:v>22</x:v>
      </x:c>
    </x:row>
    <x:row r="12">
      <x:c r="D12" t="str">
        <x:v>HH09</x:v>
      </x:c>
      <x:c r="E12" t="n">
        <x:v>16</x:v>
      </x:c>
      <x:c r="F12" t="n">
        <x:f>COUNTIF('Manifest'!$B$2:$B$221,D12)</x:f>
        <x:v>16</x:v>
      </x:c>
    </x:row>
    <x:row r="13">
      <x:c r="A13" s="4" t="str">
        <x:v>Audit signal</x:v>
      </x:c>
      <x:c r="B13" s="4" t="str">
        <x:v>Tagged rows</x:v>
      </x:c>
      <x:c r="D13" t="str">
        <x:v>HH10</x:v>
      </x:c>
      <x:c r="E13" t="n">
        <x:v>20</x:v>
      </x:c>
      <x:c r="F13" t="n">
        <x:f>COUNTIF('Manifest'!$B$2:$B$221,D13)</x:f>
        <x:v>20</x:v>
      </x:c>
    </x:row>
    <x:row r="14">
      <x:c r="A14" s="8" t="str">
        <x:v>Transnational or non-US</x:v>
      </x:c>
      <x:c r="B14" t="n">
        <x:f>COUNTIF('Manifest'!$O$2:$O$221,"transnational_or_non_us")</x:f>
        <x:v>57</x:v>
      </x:c>
      <x:c r="D14" t="str">
        <x:v>HH11</x:v>
      </x:c>
      <x:c r="E14" t="n">
        <x:v>16</x:v>
      </x:c>
      <x:c r="F14" t="n">
        <x:f>COUNTIF('Manifest'!$B$2:$B$221,D14)</x:f>
        <x:v>16</x:v>
      </x:c>
    </x:row>
    <x:row r="15">
      <x:c r="A15" s="8" t="str">
        <x:v>Women</x:v>
      </x:c>
      <x:c r="B15" t="n">
        <x:f>SUM('Manifest'!$Q$2:$Q$221)</x:f>
        <x:v>37</x:v>
      </x:c>
      <x:c r="D15" t="str">
        <x:v>HH12</x:v>
      </x:c>
      <x:c r="E15" t="n">
        <x:v>18</x:v>
      </x:c>
      <x:c r="F15" t="n">
        <x:f>COUNTIF('Manifest'!$B$2:$B$221,D15)</x:f>
        <x:v>18</x:v>
      </x:c>
    </x:row>
    <x:row r="16">
      <x:c r="A16" s="8" t="str">
        <x:v>Queer</x:v>
      </x:c>
      <x:c r="B16" t="n">
        <x:f>SUM('Manifest'!$R$2:$R$221)</x:f>
        <x:v>5</x:v>
      </x:c>
      <x:c r="D16" s="14" t="str">
        <x:v>TOTAL</x:v>
      </x:c>
      <x:c r="E16" s="14" t="n">
        <x:v>220</x:v>
      </x:c>
      <x:c r="F16" s="14" t="n">
        <x:f>SUM(F4:F15)</x:f>
        <x:v>220</x:v>
      </x:c>
    </x:row>
    <x:row r="17">
      <x:c r="A17" s="8" t="str">
        <x:v>Non-MC role or live practice</x:v>
      </x:c>
      <x:c r="B17" t="n">
        <x:f>SUM('Manifest'!$S$2:$S$221)</x:f>
        <x:v>30</x:v>
      </x:c>
    </x:row>
    <x:row r="19" ht="28" customHeight="1">
      <x:c r="A19" s="17" t="str">
        <x:v>This ledger is deliberately provisional: no row is accepted, no release metadata is verified, and no SoundCloud link is resolved. Audit signals are tag-based prompts for review, not proof that representation is adequate.</x:v>
      </x:c>
      <x:c r="B19" s="17"/>
      <x:c r="C19" s="17"/>
      <x:c r="D19" s="17"/>
      <x:c r="E19" s="17"/>
      <x:c r="F19" s="17"/>
      <x:c r="G19" s="17"/>
      <x:c r="H19" s="17"/>
    </x:row>
    <x:row r="20" ht="28" customHeight="1">
      <x:c r="A20" s="17"/>
      <x:c r="B20" s="17"/>
      <x:c r="C20" s="17"/>
      <x:c r="D20" s="17"/>
      <x:c r="E20" s="17"/>
      <x:c r="F20" s="17"/>
      <x:c r="G20" s="17"/>
      <x:c r="H20" s="17"/>
    </x:row>
  </x:sheetData>
  <x:mergeCells>
    <x:mergeCell ref="A1:H1"/>
    <x:mergeCell ref="A19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1" hidden="0" customWidth="1"/>
    <x:col min="4" max="4" width="25" hidden="0" customWidth="1"/>
    <x:col min="5" max="5" width="32" hidden="0" customWidth="1"/>
    <x:col min="6" max="6" width="34" hidden="0" customWidth="1"/>
    <x:col min="7" max="7" width="26" hidden="0" customWidth="1"/>
    <x:col min="8" max="8" width="28" hidden="0" customWidth="1"/>
    <x:col min="9" max="9" width="42" hidden="0" customWidth="1"/>
    <x:col min="10" max="10" width="20" hidden="0" customWidth="1"/>
    <x:col min="11" max="11" width="20" hidden="0" customWidth="1"/>
    <x:col min="12" max="12" width="20" hidden="0" customWidth="1"/>
    <x:col min="13" max="13" width="30" hidden="0" customWidth="1"/>
    <x:col min="14" max="14" width="40" hidden="0" customWidth="1"/>
    <x:col min="15" max="15" width="24" hidden="0" customWidth="1"/>
    <x:col min="16" max="16" width="24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1" ht="28" customHeight="1">
      <x:c r="A1" s="19" t="str">
        <x:v>position</x:v>
      </x:c>
      <x:c r="B1" s="20" t="str">
        <x:v>block_id</x:v>
      </x:c>
      <x:c r="C1" s="20" t="str">
        <x:v>release_year</x:v>
      </x:c>
      <x:c r="D1" s="20" t="str">
        <x:v>artist</x:v>
      </x:c>
      <x:c r="E1" s="20" t="str">
        <x:v>title</x:v>
      </x:c>
      <x:c r="F1" s="20" t="str">
        <x:v>intended_version</x:v>
      </x:c>
      <x:c r="G1" s="20" t="str">
        <x:v>scene_or_country</x:v>
      </x:c>
      <x:c r="H1" s="20" t="str">
        <x:v>route_tags</x:v>
      </x:c>
      <x:c r="I1" s="20" t="str">
        <x:v>primary_teaching_job</x:v>
      </x:c>
      <x:c r="J1" s="20" t="str">
        <x:v>selection_status</x:v>
      </x:c>
      <x:c r="K1" s="20" t="str">
        <x:v>version_verification</x:v>
      </x:c>
      <x:c r="L1" s="20" t="str">
        <x:v>soundcloud_status</x:v>
      </x:c>
      <x:c r="M1" s="20" t="str">
        <x:v>source_url</x:v>
      </x:c>
      <x:c r="N1" s="20" t="str">
        <x:v>notes</x:v>
      </x:c>
      <x:c r="O1" s="20" t="str">
        <x:v>geography_scope</x:v>
      </x:c>
      <x:c r="P1" s="20" t="str">
        <x:v>representation_flags</x:v>
      </x:c>
      <x:c r="Q1" s="20" t="str">
        <x:v>women_flag</x:v>
      </x:c>
      <x:c r="R1" s="20" t="str">
        <x:v>queer_flag</x:v>
      </x:c>
      <x:c r="S1" s="21" t="str">
        <x:v>non_mc_or_live_flag</x:v>
      </x:c>
    </x:row>
    <x:row r="2">
      <x:c r="A2" s="34" t="n">
        <x:v>1</x:v>
      </x:c>
      <x:c r="B2" s="34" t="str">
        <x:v>HH01</x:v>
      </x:c>
      <x:c r="C2" s="34" t="n">
        <x:v>1968</x:v>
      </x:c>
      <x:c r="D2" s="35" t="str">
        <x:v>Pigmeat Markham</x:v>
      </x:c>
      <x:c r="E2" s="35" t="str">
        <x:v>Here Comes the Judge</x:v>
      </x:c>
      <x:c r="F2" s="35" t="str">
        <x:v>original single version</x:v>
      </x:c>
      <x:c r="G2" s="35" t="str">
        <x:v>United States</x:v>
      </x:c>
      <x:c r="H2" s="35" t="str">
        <x:v>spoken-rhythm; comedy; precursor</x:v>
      </x:c>
      <x:c r="I2" s="35" t="str">
        <x:v>Comic rhythmic address and mass-media crossover</x:v>
      </x:c>
      <x:c r="J2" s="35" t="str">
        <x:v>provisional</x:v>
      </x:c>
      <x:c r="K2" s="35" t="str">
        <x:v>metadata_unverified</x:v>
      </x:c>
      <x:c r="L2" s="35" t="str">
        <x:v>soundcloud_unresolved</x:v>
      </x:c>
      <x:c r="M2" s="35" t="str"/>
      <x:c r="N2" s="35" t="str">
        <x:v>Context only; do not declare direct invention</x:v>
      </x:c>
      <x:c r="O2" s="35" t="str">
        <x:v>us</x:v>
      </x:c>
      <x:c r="P2" s="35" t="str"/>
      <x:c r="Q2" s="35" t="n">
        <x:v>0</x:v>
      </x:c>
      <x:c r="R2" s="35" t="n">
        <x:v>0</x:v>
      </x:c>
      <x:c r="S2" s="35" t="n">
        <x:v>0</x:v>
      </x:c>
    </x:row>
    <x:row r="3">
      <x:c r="A3" s="36" t="n">
        <x:v>2</x:v>
      </x:c>
      <x:c r="B3" s="36" t="str">
        <x:v>HH01</x:v>
      </x:c>
      <x:c r="C3" s="36" t="n">
        <x:v>1969</x:v>
      </x:c>
      <x:c r="D3" s="37" t="str">
        <x:v>King Stitt</x:v>
      </x:c>
      <x:c r="E3" s="37" t="str">
        <x:v>Fire Corner</x:v>
      </x:c>
      <x:c r="F3" s="37" t="str">
        <x:v>original single version</x:v>
      </x:c>
      <x:c r="G3" s="37" t="str">
        <x:v>Jamaica</x:v>
      </x:c>
      <x:c r="H3" s="37" t="str">
        <x:v>sound-system; deejay; precursor</x:v>
      </x:c>
      <x:c r="I3" s="37" t="str">
        <x:v>Jamaican deejay address and version culture</x:v>
      </x:c>
      <x:c r="J3" s="37" t="str">
        <x:v>provisional</x:v>
      </x:c>
      <x:c r="K3" s="37" t="str">
        <x:v>metadata_unverified</x:v>
      </x:c>
      <x:c r="L3" s="37" t="str">
        <x:v>soundcloud_unresolved</x:v>
      </x:c>
      <x:c r="M3" s="37" t="str"/>
      <x:c r="N3" s="37" t="str">
        <x:v>Transnational context</x:v>
      </x:c>
      <x:c r="O3" s="37" t="str">
        <x:v>transnational_or_non_us</x:v>
      </x:c>
      <x:c r="P3" s="37" t="str"/>
      <x:c r="Q3" s="37" t="n">
        <x:v>0</x:v>
      </x:c>
      <x:c r="R3" s="37" t="n">
        <x:v>0</x:v>
      </x:c>
      <x:c r="S3" s="37" t="n">
        <x:v>0</x:v>
      </x:c>
    </x:row>
    <x:row r="4">
      <x:c r="A4" s="36" t="n">
        <x:v>3</x:v>
      </x:c>
      <x:c r="B4" s="36" t="str">
        <x:v>HH01</x:v>
      </x:c>
      <x:c r="C4" s="36" t="n">
        <x:v>1970</x:v>
      </x:c>
      <x:c r="D4" s="37" t="str">
        <x:v>The Last Poets</x:v>
      </x:c>
      <x:c r="E4" s="37" t="str">
        <x:v>When the Revolution Comes</x:v>
      </x:c>
      <x:c r="F4" s="37" t="str">
        <x:v>original album version</x:v>
      </x:c>
      <x:c r="G4" s="37" t="str">
        <x:v>New York</x:v>
      </x:c>
      <x:c r="H4" s="37" t="str">
        <x:v>spoken-word; political; precursor</x:v>
      </x:c>
      <x:c r="I4" s="37" t="str">
        <x:v>Militant ensemble speech and percussion</x:v>
      </x:c>
      <x:c r="J4" s="37" t="str">
        <x:v>provisional</x:v>
      </x:c>
      <x:c r="K4" s="37" t="str">
        <x:v>metadata_unverified</x:v>
      </x:c>
      <x:c r="L4" s="37" t="str">
        <x:v>soundcloud_unresolved</x:v>
      </x:c>
      <x:c r="M4" s="37" t="str"/>
      <x:c r="N4" s="37" t="str">
        <x:v>Recognition prompt remains open</x:v>
      </x:c>
      <x:c r="O4" s="37" t="str">
        <x:v>us</x:v>
      </x:c>
      <x:c r="P4" s="37" t="str"/>
      <x:c r="Q4" s="37" t="n">
        <x:v>0</x:v>
      </x:c>
      <x:c r="R4" s="37" t="n">
        <x:v>0</x:v>
      </x:c>
      <x:c r="S4" s="37" t="n">
        <x:v>0</x:v>
      </x:c>
    </x:row>
    <x:row r="5">
      <x:c r="A5" s="36" t="n">
        <x:v>4</x:v>
      </x:c>
      <x:c r="B5" s="36" t="str">
        <x:v>HH01</x:v>
      </x:c>
      <x:c r="C5" s="36" t="n">
        <x:v>1970</x:v>
      </x:c>
      <x:c r="D5" s="37" t="str">
        <x:v>U-Roy</x:v>
      </x:c>
      <x:c r="E5" s="37" t="str">
        <x:v>Wake the Town</x:v>
      </x:c>
      <x:c r="F5" s="37" t="str">
        <x:v>original single version</x:v>
      </x:c>
      <x:c r="G5" s="37" t="str">
        <x:v>Jamaica</x:v>
      </x:c>
      <x:c r="H5" s="37" t="str">
        <x:v>sound-system; deejay; version</x:v>
      </x:c>
      <x:c r="I5" s="37" t="str">
        <x:v>Recorded deejay performance over an existing rhythm</x:v>
      </x:c>
      <x:c r="J5" s="37" t="str">
        <x:v>provisional</x:v>
      </x:c>
      <x:c r="K5" s="37" t="str">
        <x:v>metadata_unverified</x:v>
      </x:c>
      <x:c r="L5" s="37" t="str">
        <x:v>soundcloud_unresolved</x:v>
      </x:c>
      <x:c r="M5" s="37" t="str"/>
      <x:c r="N5" s="37" t="str">
        <x:v>Do not reduce hip-hop to a single Jamaican parent line</x:v>
      </x:c>
      <x:c r="O5" s="37" t="str">
        <x:v>transnational_or_non_us</x:v>
      </x:c>
      <x:c r="P5" s="37" t="str"/>
      <x:c r="Q5" s="37" t="n">
        <x:v>0</x:v>
      </x:c>
      <x:c r="R5" s="37" t="n">
        <x:v>0</x:v>
      </x:c>
      <x:c r="S5" s="37" t="n">
        <x:v>0</x:v>
      </x:c>
    </x:row>
    <x:row r="6">
      <x:c r="A6" s="36" t="n">
        <x:v>5</x:v>
      </x:c>
      <x:c r="B6" s="36" t="str">
        <x:v>HH01</x:v>
      </x:c>
      <x:c r="C6" s="36" t="n">
        <x:v>1970</x:v>
      </x:c>
      <x:c r="D6" s="37" t="str">
        <x:v>James Brown</x:v>
      </x:c>
      <x:c r="E6" s="37" t="str">
        <x:v>Funky Drummer</x:v>
      </x:c>
      <x:c r="F6" s="37" t="str">
        <x:v>complete original single performance</x:v>
      </x:c>
      <x:c r="G6" s="37" t="str">
        <x:v>Cincinnati / United States</x:v>
      </x:c>
      <x:c r="H6" s="37" t="str">
        <x:v>funk; break; drums</x:v>
      </x:c>
      <x:c r="I6" s="37" t="str">
        <x:v>Clyde Stubblefield break as later sample material</x:v>
      </x:c>
      <x:c r="J6" s="37" t="str">
        <x:v>provisional</x:v>
      </x:c>
      <x:c r="K6" s="37" t="str">
        <x:v>metadata_unverified</x:v>
      </x:c>
      <x:c r="L6" s="37" t="str">
        <x:v>soundcloud_unresolved</x:v>
      </x:c>
      <x:c r="M6" s="37" t="str"/>
      <x:c r="N6" s="37" t="str">
        <x:v>Exact full version requires verification</x:v>
      </x:c>
      <x:c r="O6" s="37" t="str">
        <x:v>us</x:v>
      </x:c>
      <x:c r="P6" s="37" t="str"/>
      <x:c r="Q6" s="37" t="n">
        <x:v>0</x:v>
      </x:c>
      <x:c r="R6" s="37" t="n">
        <x:v>0</x:v>
      </x:c>
      <x:c r="S6" s="37" t="n">
        <x:v>0</x:v>
      </x:c>
    </x:row>
    <x:row r="7">
      <x:c r="A7" s="36" t="n">
        <x:v>6</x:v>
      </x:c>
      <x:c r="B7" s="36" t="str">
        <x:v>HH01</x:v>
      </x:c>
      <x:c r="C7" s="36" t="n">
        <x:v>1971</x:v>
      </x:c>
      <x:c r="D7" s="37" t="str">
        <x:v>The Watts Prophets</x:v>
      </x:c>
      <x:c r="E7" s="37" t="str">
        <x:v>Dem Niggers Ain't Playing</x:v>
      </x:c>
      <x:c r="F7" s="37" t="str">
        <x:v>original album version</x:v>
      </x:c>
      <x:c r="G7" s="37" t="str">
        <x:v>Los Angeles</x:v>
      </x:c>
      <x:c r="H7" s="37" t="str">
        <x:v>spoken-word; political; precursor</x:v>
      </x:c>
      <x:c r="I7" s="37" t="str">
        <x:v>West Coast Black Arts rhythmic speech</x:v>
      </x:c>
      <x:c r="J7" s="37" t="str">
        <x:v>provisional</x:v>
      </x:c>
      <x:c r="K7" s="37" t="str">
        <x:v>metadata_unverified</x:v>
      </x:c>
      <x:c r="L7" s="37" t="str">
        <x:v>soundcloud_unresolved</x:v>
      </x:c>
      <x:c r="M7" s="37" t="str"/>
      <x:c r="N7" s="37" t="str">
        <x:v>Title is historical artist wording</x:v>
      </x:c>
      <x:c r="O7" s="37" t="str">
        <x:v>us</x:v>
      </x:c>
      <x:c r="P7" s="37" t="str"/>
      <x:c r="Q7" s="37" t="n">
        <x:v>0</x:v>
      </x:c>
      <x:c r="R7" s="37" t="n">
        <x:v>0</x:v>
      </x:c>
      <x:c r="S7" s="37" t="n">
        <x:v>0</x:v>
      </x:c>
    </x:row>
    <x:row r="8">
      <x:c r="A8" s="36" t="n">
        <x:v>7</x:v>
      </x:c>
      <x:c r="B8" s="36" t="str">
        <x:v>HH01</x:v>
      </x:c>
      <x:c r="C8" s="36" t="n">
        <x:v>1971</x:v>
      </x:c>
      <x:c r="D8" s="37" t="str">
        <x:v>Gil Scott-Heron</x:v>
      </x:c>
      <x:c r="E8" s="37" t="str">
        <x:v>The Revolution Will Not Be Televised</x:v>
      </x:c>
      <x:c r="F8" s="37" t="str">
        <x:v>full-band Pieces of a Man version</x:v>
      </x:c>
      <x:c r="G8" s="37" t="str">
        <x:v>New York</x:v>
      </x:c>
      <x:c r="H8" s="37" t="str">
        <x:v>spoken-word; jazz; political</x:v>
      </x:c>
      <x:c r="I8" s="37" t="str">
        <x:v>Media critique and rhythmic address</x:v>
      </x:c>
      <x:c r="J8" s="37" t="str">
        <x:v>provisional</x:v>
      </x:c>
      <x:c r="K8" s="37" t="str">
        <x:v>metadata_unverified</x:v>
      </x:c>
      <x:c r="L8" s="37" t="str">
        <x:v>soundcloud_unresolved</x:v>
      </x:c>
      <x:c r="M8" s="37" t="str"/>
      <x:c r="N8" s="37" t="str">
        <x:v>Distinguish from earlier Small Talk version</x:v>
      </x:c>
      <x:c r="O8" s="37" t="str">
        <x:v>us</x:v>
      </x:c>
      <x:c r="P8" s="37" t="str"/>
      <x:c r="Q8" s="37" t="n">
        <x:v>0</x:v>
      </x:c>
      <x:c r="R8" s="37" t="n">
        <x:v>0</x:v>
      </x:c>
      <x:c r="S8" s="37" t="n">
        <x:v>0</x:v>
      </x:c>
    </x:row>
    <x:row r="9">
      <x:c r="A9" s="36" t="n">
        <x:v>8</x:v>
      </x:c>
      <x:c r="B9" s="36" t="str">
        <x:v>HH01</x:v>
      </x:c>
      <x:c r="C9" s="36" t="n">
        <x:v>1972</x:v>
      </x:c>
      <x:c r="D9" s="37" t="str">
        <x:v>The Jimmy Castor Bunch</x:v>
      </x:c>
      <x:c r="E9" s="37" t="str">
        <x:v>It's Just Begun</x:v>
      </x:c>
      <x:c r="F9" s="37" t="str">
        <x:v>original album version</x:v>
      </x:c>
      <x:c r="G9" s="37" t="str">
        <x:v>New York</x:v>
      </x:c>
      <x:c r="H9" s="37" t="str">
        <x:v>funk; break; dance</x:v>
      </x:c>
      <x:c r="I9" s="37" t="str">
        <x:v>Break culture and b-boy afterlife</x:v>
      </x:c>
      <x:c r="J9" s="37" t="str">
        <x:v>provisional</x:v>
      </x:c>
      <x:c r="K9" s="37" t="str">
        <x:v>metadata_unverified</x:v>
      </x:c>
      <x:c r="L9" s="37" t="str">
        <x:v>soundcloud_unresolved</x:v>
      </x:c>
      <x:c r="M9" s="37" t="str"/>
      <x:c r="N9" s="37" t="str">
        <x:v>Verify album timing</x:v>
      </x:c>
      <x:c r="O9" s="37" t="str">
        <x:v>us</x:v>
      </x:c>
      <x:c r="P9" s="37" t="str"/>
      <x:c r="Q9" s="37" t="n">
        <x:v>0</x:v>
      </x:c>
      <x:c r="R9" s="37" t="n">
        <x:v>0</x:v>
      </x:c>
      <x:c r="S9" s="37" t="n">
        <x:v>0</x:v>
      </x:c>
    </x:row>
    <x:row r="10">
      <x:c r="A10" s="36" t="n">
        <x:v>9</x:v>
      </x:c>
      <x:c r="B10" s="36" t="str">
        <x:v>HH01</x:v>
      </x:c>
      <x:c r="C10" s="36" t="n">
        <x:v>1972</x:v>
      </x:c>
      <x:c r="D10" s="37" t="str">
        <x:v>Babe Ruth</x:v>
      </x:c>
      <x:c r="E10" s="37" t="str">
        <x:v>The Mexican</x:v>
      </x:c>
      <x:c r="F10" s="37" t="str">
        <x:v>original First Base album version</x:v>
      </x:c>
      <x:c r="G10" s="37" t="str">
        <x:v>United Kingdom</x:v>
      </x:c>
      <x:c r="H10" s="37" t="str">
        <x:v>rock; break; transatlantic</x:v>
      </x:c>
      <x:c r="I10" s="37" t="str">
        <x:v>Unexpected break source and transatlantic record circulation</x:v>
      </x:c>
      <x:c r="J10" s="37" t="str">
        <x:v>provisional</x:v>
      </x:c>
      <x:c r="K10" s="37" t="str">
        <x:v>metadata_unverified</x:v>
      </x:c>
      <x:c r="L10" s="37" t="str">
        <x:v>soundcloud_unresolved</x:v>
      </x:c>
      <x:c r="M10" s="37" t="str"/>
      <x:c r="N10" s="37" t="str">
        <x:v>Not a rap record</x:v>
      </x:c>
      <x:c r="O10" s="37" t="str">
        <x:v>transnational_or_non_us</x:v>
      </x:c>
      <x:c r="P10" s="37" t="str"/>
      <x:c r="Q10" s="37" t="n">
        <x:v>0</x:v>
      </x:c>
      <x:c r="R10" s="37" t="n">
        <x:v>0</x:v>
      </x:c>
      <x:c r="S10" s="37" t="n">
        <x:v>0</x:v>
      </x:c>
    </x:row>
    <x:row r="11">
      <x:c r="A11" s="36" t="n">
        <x:v>10</x:v>
      </x:c>
      <x:c r="B11" s="36" t="str">
        <x:v>HH01</x:v>
      </x:c>
      <x:c r="C11" s="36" t="n">
        <x:v>1972</x:v>
      </x:c>
      <x:c r="D11" s="37" t="str">
        <x:v>Cymande</x:v>
      </x:c>
      <x:c r="E11" s="37" t="str">
        <x:v>Bra</x:v>
      </x:c>
      <x:c r="F11" s="37" t="str">
        <x:v>original album version</x:v>
      </x:c>
      <x:c r="G11" s="37" t="str">
        <x:v>United Kingdom</x:v>
      </x:c>
      <x:c r="H11" s="37" t="str">
        <x:v>funk; break; diaspora</x:v>
      </x:c>
      <x:c r="I11" s="37" t="str">
        <x:v>Diasporic British funk in break selection</x:v>
      </x:c>
      <x:c r="J11" s="37" t="str">
        <x:v>provisional</x:v>
      </x:c>
      <x:c r="K11" s="37" t="str">
        <x:v>metadata_unverified</x:v>
      </x:c>
      <x:c r="L11" s="37" t="str">
        <x:v>soundcloud_unresolved</x:v>
      </x:c>
      <x:c r="M11" s="37" t="str"/>
      <x:c r="N11" s="37" t="str">
        <x:v>Not a rap record</x:v>
      </x:c>
      <x:c r="O11" s="37" t="str">
        <x:v>transnational_or_non_us</x:v>
      </x:c>
      <x:c r="P11" s="37" t="str"/>
      <x:c r="Q11" s="37" t="n">
        <x:v>0</x:v>
      </x:c>
      <x:c r="R11" s="37" t="n">
        <x:v>0</x:v>
      </x:c>
      <x:c r="S11" s="37" t="n">
        <x:v>0</x:v>
      </x:c>
    </x:row>
    <x:row r="12">
      <x:c r="A12" s="36" t="n">
        <x:v>11</x:v>
      </x:c>
      <x:c r="B12" s="36" t="str">
        <x:v>HH01</x:v>
      </x:c>
      <x:c r="C12" s="36" t="n">
        <x:v>1973</x:v>
      </x:c>
      <x:c r="D12" s="37" t="str">
        <x:v>The Incredible Bongo Band</x:v>
      </x:c>
      <x:c r="E12" s="37" t="str">
        <x:v>Apache</x:v>
      </x:c>
      <x:c r="F12" s="37" t="str">
        <x:v>original Bongo Rock album version</x:v>
      </x:c>
      <x:c r="G12" s="37" t="str">
        <x:v>Canada / United States</x:v>
      </x:c>
      <x:c r="H12" s="37" t="str">
        <x:v>break; drums; dance</x:v>
      </x:c>
      <x:c r="I12" s="37" t="str">
        <x:v>A foundational break record and dancer-centered listening</x:v>
      </x:c>
      <x:c r="J12" s="37" t="str">
        <x:v>provisional</x:v>
      </x:c>
      <x:c r="K12" s="37" t="str">
        <x:v>metadata_unverified</x:v>
      </x:c>
      <x:c r="L12" s="37" t="str">
        <x:v>soundcloud_unresolved</x:v>
      </x:c>
      <x:c r="M12" s="37" t="str"/>
      <x:c r="N12" s="37" t="str">
        <x:v>Distinguish later edits</x:v>
      </x:c>
      <x:c r="O12" s="37" t="str">
        <x:v>transnational_or_non_us</x:v>
      </x:c>
      <x:c r="P12" s="37" t="str"/>
      <x:c r="Q12" s="37" t="n">
        <x:v>0</x:v>
      </x:c>
      <x:c r="R12" s="37" t="n">
        <x:v>0</x:v>
      </x:c>
      <x:c r="S12" s="37" t="n">
        <x:v>0</x:v>
      </x:c>
    </x:row>
    <x:row r="13">
      <x:c r="A13" s="36" t="n">
        <x:v>12</x:v>
      </x:c>
      <x:c r="B13" s="36" t="str">
        <x:v>HH01</x:v>
      </x:c>
      <x:c r="C13" s="36" t="n">
        <x:v>1973</x:v>
      </x:c>
      <x:c r="D13" s="37" t="str">
        <x:v>Lightnin' Rod</x:v>
      </x:c>
      <x:c r="E13" s="37" t="str">
        <x:v>Sport</x:v>
      </x:c>
      <x:c r="F13" s="37" t="str">
        <x:v>original Hustlers Convention album version</x:v>
      </x:c>
      <x:c r="G13" s="37" t="str">
        <x:v>New York</x:v>
      </x:c>
      <x:c r="H13" s="37" t="str">
        <x:v>spoken-word; narrative; funk</x:v>
      </x:c>
      <x:c r="I13" s="37" t="str">
        <x:v>Street narrative over funk ensemble</x:v>
      </x:c>
      <x:c r="J13" s="37" t="str">
        <x:v>provisional</x:v>
      </x:c>
      <x:c r="K13" s="37" t="str">
        <x:v>metadata_unverified</x:v>
      </x:c>
      <x:c r="L13" s="37" t="str">
        <x:v>soundcloud_unresolved</x:v>
      </x:c>
      <x:c r="M13" s="37" t="str"/>
      <x:c r="N13" s="37" t="str">
        <x:v>Boundary exhibit rather than first-rap claim</x:v>
      </x:c>
      <x:c r="O13" s="37" t="str">
        <x:v>us</x:v>
      </x:c>
      <x:c r="P13" s="37" t="str"/>
      <x:c r="Q13" s="37" t="n">
        <x:v>0</x:v>
      </x:c>
      <x:c r="R13" s="37" t="n">
        <x:v>0</x:v>
      </x:c>
      <x:c r="S13" s="37" t="n">
        <x:v>0</x:v>
      </x:c>
    </x:row>
    <x:row r="14">
      <x:c r="A14" s="36" t="n">
        <x:v>13</x:v>
      </x:c>
      <x:c r="B14" s="36" t="str">
        <x:v>HH02</x:v>
      </x:c>
      <x:c r="C14" s="36" t="n">
        <x:v>1978</x:v>
      </x:c>
      <x:c r="D14" s="37" t="str">
        <x:v>Grandmaster Flash and the Furious Four MCs</x:v>
      </x:c>
      <x:c r="E14" s="37" t="str">
        <x:v>Live at the Audubon Ballroom — December 23 1978</x:v>
      </x:c>
      <x:c r="F14" s="37" t="str">
        <x:v>complete surviving party tape</x:v>
      </x:c>
      <x:c r="G14" s="37" t="str">
        <x:v>New York</x:v>
      </x:c>
      <x:c r="H14" s="37" t="str">
        <x:v>party-tape; DJ; MC; live</x:v>
      </x:c>
      <x:c r="I14" s="37" t="str">
        <x:v>Quick-mix DJ and MC interaction before commercial rap</x:v>
      </x:c>
      <x:c r="J14" s="37" t="str">
        <x:v>provisional</x:v>
      </x:c>
      <x:c r="K14" s="37" t="str">
        <x:v>metadata_unverified</x:v>
      </x:c>
      <x:c r="L14" s="37" t="str">
        <x:v>soundcloud_unresolved</x:v>
      </x:c>
      <x:c r="M14" s="37" t="str"/>
      <x:c r="N14" s="37" t="str">
        <x:v>Archival object; exact carrier and SoundCloud availability unresolved</x:v>
      </x:c>
      <x:c r="O14" s="37" t="str">
        <x:v>us</x:v>
      </x:c>
      <x:c r="P14" s="37" t="str">
        <x:v>non_mc_role_or_live</x:v>
      </x:c>
      <x:c r="Q14" s="37" t="n">
        <x:v>0</x:v>
      </x:c>
      <x:c r="R14" s="37" t="n">
        <x:v>0</x:v>
      </x:c>
      <x:c r="S14" s="37" t="n">
        <x:v>1</x:v>
      </x:c>
    </x:row>
    <x:row r="15">
      <x:c r="A15" s="36" t="n">
        <x:v>14</x:v>
      </x:c>
      <x:c r="B15" s="36" t="str">
        <x:v>HH02</x:v>
      </x:c>
      <x:c r="C15" s="36" t="n">
        <x:v>1978</x:v>
      </x:c>
      <x:c r="D15" s="37" t="str">
        <x:v>Furious Four</x:v>
      </x:c>
      <x:c r="E15" s="37" t="str">
        <x:v>Live at Mitchell Gym</x:v>
      </x:c>
      <x:c r="F15" s="37" t="str">
        <x:v>Cornell Troy L. Smith tape 184 side B</x:v>
      </x:c>
      <x:c r="G15" s="37" t="str">
        <x:v>New York</x:v>
      </x:c>
      <x:c r="H15" s="37" t="str">
        <x:v>party-tape; live; crew</x:v>
      </x:c>
      <x:c r="I15" s="37" t="str">
        <x:v>Crew routine and live-room pacing</x:v>
      </x:c>
      <x:c r="J15" s="37" t="str">
        <x:v>provisional</x:v>
      </x:c>
      <x:c r="K15" s="37" t="str">
        <x:v>metadata_unverified</x:v>
      </x:c>
      <x:c r="L15" s="37" t="str">
        <x:v>soundcloud_unresolved</x:v>
      </x:c>
      <x:c r="M15" s="37" t="str"/>
      <x:c r="N15" s="37" t="str">
        <x:v>Archive catalog source required</x:v>
      </x:c>
      <x:c r="O15" s="37" t="str">
        <x:v>us</x:v>
      </x:c>
      <x:c r="P15" s="37" t="str">
        <x:v>non_mc_role_or_live</x:v>
      </x:c>
      <x:c r="Q15" s="37" t="n">
        <x:v>0</x:v>
      </x:c>
      <x:c r="R15" s="37" t="n">
        <x:v>0</x:v>
      </x:c>
      <x:c r="S15" s="37" t="n">
        <x:v>1</x:v>
      </x:c>
    </x:row>
    <x:row r="16">
      <x:c r="A16" s="36" t="n">
        <x:v>15</x:v>
      </x:c>
      <x:c r="B16" s="36" t="str">
        <x:v>HH02</x:v>
      </x:c>
      <x:c r="C16" s="36" t="n">
        <x:v>1978</x:v>
      </x:c>
      <x:c r="D16" s="37" t="str">
        <x:v>Funky Four</x:v>
      </x:c>
      <x:c r="E16" s="37" t="str">
        <x:v>Live at unknown location</x:v>
      </x:c>
      <x:c r="F16" s="37" t="str">
        <x:v>Cornell Troy L. Smith tape 230 side A</x:v>
      </x:c>
      <x:c r="G16" s="37" t="str">
        <x:v>New York</x:v>
      </x:c>
      <x:c r="H16" s="37" t="str">
        <x:v>party-tape; live; Sha-Rock</x:v>
      </x:c>
      <x:c r="I16" s="37" t="str">
        <x:v>Early crew performance including a woman MC</x:v>
      </x:c>
      <x:c r="J16" s="37" t="str">
        <x:v>provisional</x:v>
      </x:c>
      <x:c r="K16" s="37" t="str">
        <x:v>metadata_unverified</x:v>
      </x:c>
      <x:c r="L16" s="37" t="str">
        <x:v>soundcloud_unresolved</x:v>
      </x:c>
      <x:c r="M16" s="37" t="str"/>
      <x:c r="N16" s="37" t="str">
        <x:v>Exact venue remains unidentified in catalog</x:v>
      </x:c>
      <x:c r="O16" s="37" t="str">
        <x:v>us</x:v>
      </x:c>
      <x:c r="P16" s="37" t="str">
        <x:v>non_mc_role_or_live</x:v>
      </x:c>
      <x:c r="Q16" s="37" t="n">
        <x:v>0</x:v>
      </x:c>
      <x:c r="R16" s="37" t="n">
        <x:v>0</x:v>
      </x:c>
      <x:c r="S16" s="37" t="n">
        <x:v>1</x:v>
      </x:c>
    </x:row>
    <x:row r="17">
      <x:c r="A17" s="36" t="n">
        <x:v>16</x:v>
      </x:c>
      <x:c r="B17" s="36" t="str">
        <x:v>HH02</x:v>
      </x:c>
      <x:c r="C17" s="36" t="n">
        <x:v>1978</x:v>
      </x:c>
      <x:c r="D17" s="37" t="str">
        <x:v>Afrika Bambaataa and associated crews</x:v>
      </x:c>
      <x:c r="E17" s="37" t="str">
        <x:v>Birthday Party for DJ Kool Herc at 1590 Jerome Avenue</x:v>
      </x:c>
      <x:c r="F17" s="37" t="str">
        <x:v>complete documented event recording if accessible</x:v>
      </x:c>
      <x:c r="G17" s="37" t="str">
        <x:v>New York</x:v>
      </x:c>
      <x:c r="H17" s="37" t="str">
        <x:v>party-tape; DJ; crew; community</x:v>
      </x:c>
      <x:c r="I17" s="37" t="str">
        <x:v>Named party ecology and crew organization</x:v>
      </x:c>
      <x:c r="J17" s="37" t="str">
        <x:v>provisional</x:v>
      </x:c>
      <x:c r="K17" s="37" t="str">
        <x:v>metadata_unverified</x:v>
      </x:c>
      <x:c r="L17" s="37" t="str">
        <x:v>soundcloud_unresolved</x:v>
      </x:c>
      <x:c r="M17" s="37" t="str"/>
      <x:c r="N17" s="37" t="str">
        <x:v>Cornell archive item; audio access unresolved</x:v>
      </x:c>
      <x:c r="O17" s="37" t="str">
        <x:v>us</x:v>
      </x:c>
      <x:c r="P17" s="37" t="str">
        <x:v>non_mc_role_or_live</x:v>
      </x:c>
      <x:c r="Q17" s="37" t="n">
        <x:v>0</x:v>
      </x:c>
      <x:c r="R17" s="37" t="n">
        <x:v>0</x:v>
      </x:c>
      <x:c r="S17" s="37" t="n">
        <x:v>1</x:v>
      </x:c>
    </x:row>
    <x:row r="18">
      <x:c r="A18" s="36" t="n">
        <x:v>17</x:v>
      </x:c>
      <x:c r="B18" s="36" t="str">
        <x:v>HH02</x:v>
      </x:c>
      <x:c r="C18" s="36" t="n">
        <x:v>1979</x:v>
      </x:c>
      <x:c r="D18" s="37" t="str">
        <x:v>Grandmaster Flowers</x:v>
      </x:c>
      <x:c r="E18" s="37" t="str">
        <x:v>Live at St. Marks Park Brooklyn</x:v>
      </x:c>
      <x:c r="F18" s="37" t="str">
        <x:v>Cornell Troy L. Smith tape 98</x:v>
      </x:c>
      <x:c r="G18" s="37" t="str">
        <x:v>Brooklyn / New York</x:v>
      </x:c>
      <x:c r="H18" s="37" t="str">
        <x:v>party-tape; disco; breaks; echo</x:v>
      </x:c>
      <x:c r="I18" s="37" t="str">
        <x:v>Pre-rap DJ continuity and park performance</x:v>
      </x:c>
      <x:c r="J18" s="37" t="str">
        <x:v>provisional</x:v>
      </x:c>
      <x:c r="K18" s="37" t="str">
        <x:v>metadata_unverified</x:v>
      </x:c>
      <x:c r="L18" s="37" t="str">
        <x:v>soundcloud_unresolved</x:v>
      </x:c>
      <x:c r="M18" s="37" t="str"/>
      <x:c r="N18" s="37" t="str">
        <x:v>Archive catalog describes 120-minute tape</x:v>
      </x:c>
      <x:c r="O18" s="37" t="str">
        <x:v>us</x:v>
      </x:c>
      <x:c r="P18" s="37" t="str">
        <x:v>non_mc_role_or_live</x:v>
      </x:c>
      <x:c r="Q18" s="37" t="n">
        <x:v>0</x:v>
      </x:c>
      <x:c r="R18" s="37" t="n">
        <x:v>0</x:v>
      </x:c>
      <x:c r="S18" s="37" t="n">
        <x:v>1</x:v>
      </x:c>
    </x:row>
    <x:row r="19">
      <x:c r="A19" s="36" t="n">
        <x:v>18</x:v>
      </x:c>
      <x:c r="B19" s="36" t="str">
        <x:v>HH02</x:v>
      </x:c>
      <x:c r="C19" s="36" t="n">
        <x:v>1979</x:v>
      </x:c>
      <x:c r="D19" s="37" t="str">
        <x:v>Cold Crush Four and Disco Enforcers</x:v>
      </x:c>
      <x:c r="E19" s="37" t="str">
        <x:v>Live at T-Connection</x:v>
      </x:c>
      <x:c r="F19" s="37" t="str">
        <x:v>Cornell Troy L. Smith tape 8</x:v>
      </x:c>
      <x:c r="G19" s="37" t="str">
        <x:v>New York</x:v>
      </x:c>
      <x:c r="H19" s="37" t="str">
        <x:v>party-tape; crew; routine</x:v>
      </x:c>
      <x:c r="I19" s="37" t="str">
        <x:v>Routines over commercial records and live social detail</x:v>
      </x:c>
      <x:c r="J19" s="37" t="str">
        <x:v>provisional</x:v>
      </x:c>
      <x:c r="K19" s="37" t="str">
        <x:v>metadata_unverified</x:v>
      </x:c>
      <x:c r="L19" s="37" t="str">
        <x:v>soundcloud_unresolved</x:v>
      </x:c>
      <x:c r="M19" s="37" t="str"/>
      <x:c r="N19" s="37" t="str">
        <x:v>Archival object</x:v>
      </x:c>
      <x:c r="O19" s="37" t="str">
        <x:v>us</x:v>
      </x:c>
      <x:c r="P19" s="37" t="str">
        <x:v>non_mc_role_or_live</x:v>
      </x:c>
      <x:c r="Q19" s="37" t="n">
        <x:v>0</x:v>
      </x:c>
      <x:c r="R19" s="37" t="n">
        <x:v>0</x:v>
      </x:c>
      <x:c r="S19" s="37" t="n">
        <x:v>1</x:v>
      </x:c>
    </x:row>
    <x:row r="20">
      <x:c r="A20" s="36" t="n">
        <x:v>19</x:v>
      </x:c>
      <x:c r="B20" s="36" t="str">
        <x:v>HH02</x:v>
      </x:c>
      <x:c r="C20" s="36" t="n">
        <x:v>1979</x:v>
      </x:c>
      <x:c r="D20" s="37" t="str">
        <x:v>DJ Hollywood</x:v>
      </x:c>
      <x:c r="E20" s="37" t="str">
        <x:v>Live club routine</x:v>
      </x:c>
      <x:c r="F20" s="37" t="str">
        <x:v>best-authenticated complete 1970s club tape</x:v>
      </x:c>
      <x:c r="G20" s="37" t="str">
        <x:v>New York</x:v>
      </x:c>
      <x:c r="H20" s="37" t="str">
        <x:v>club; MC; party-tape</x:v>
      </x:c>
      <x:c r="I20" s="37" t="str">
        <x:v>Club-style solo MC continuity beside Bronx crews</x:v>
      </x:c>
      <x:c r="J20" s="37" t="str">
        <x:v>provisional</x:v>
      </x:c>
      <x:c r="K20" s="37" t="str">
        <x:v>metadata_unverified</x:v>
      </x:c>
      <x:c r="L20" s="37" t="str">
        <x:v>soundcloud_unresolved</x:v>
      </x:c>
      <x:c r="M20" s="37" t="str"/>
      <x:c r="N20" s="37" t="str">
        <x:v>Exact date venue and carrier must be resolved</x:v>
      </x:c>
      <x:c r="O20" s="37" t="str">
        <x:v>us</x:v>
      </x:c>
      <x:c r="P20" s="37" t="str">
        <x:v>non_mc_role_or_live</x:v>
      </x:c>
      <x:c r="Q20" s="37" t="n">
        <x:v>0</x:v>
      </x:c>
      <x:c r="R20" s="37" t="n">
        <x:v>0</x:v>
      </x:c>
      <x:c r="S20" s="37" t="n">
        <x:v>1</x:v>
      </x:c>
    </x:row>
    <x:row r="21">
      <x:c r="A21" s="36" t="n">
        <x:v>20</x:v>
      </x:c>
      <x:c r="B21" s="36" t="str">
        <x:v>HH02</x:v>
      </x:c>
      <x:c r="C21" s="36" t="n">
        <x:v>1979</x:v>
      </x:c>
      <x:c r="D21" s="37" t="str">
        <x:v>Disco Twins and Infinity Machine</x:v>
      </x:c>
      <x:c r="E21" s="37" t="str">
        <x:v>Live party recording</x:v>
      </x:c>
      <x:c r="F21" s="37" t="str">
        <x:v>best-authenticated surviving 1970s tape</x:v>
      </x:c>
      <x:c r="G21" s="37" t="str">
        <x:v>Queens / New York</x:v>
      </x:c>
      <x:c r="H21" s="37" t="str">
        <x:v>party-tape; DJ; sound-system</x:v>
      </x:c>
      <x:c r="I21" s="37" t="str">
        <x:v>Mobile crew and borough circulation</x:v>
      </x:c>
      <x:c r="J21" s="37" t="str">
        <x:v>provisional</x:v>
      </x:c>
      <x:c r="K21" s="37" t="str">
        <x:v>metadata_unverified</x:v>
      </x:c>
      <x:c r="L21" s="37" t="str">
        <x:v>soundcloud_unresolved</x:v>
      </x:c>
      <x:c r="M21" s="37" t="str"/>
      <x:c r="N21" s="37" t="str">
        <x:v>Exact recording must be resolved before acceptance</x:v>
      </x:c>
      <x:c r="O21" s="37" t="str">
        <x:v>us</x:v>
      </x:c>
      <x:c r="P21" s="37" t="str">
        <x:v>non_mc_role_or_live</x:v>
      </x:c>
      <x:c r="Q21" s="37" t="n">
        <x:v>0</x:v>
      </x:c>
      <x:c r="R21" s="37" t="n">
        <x:v>0</x:v>
      </x:c>
      <x:c r="S21" s="37" t="n">
        <x:v>1</x:v>
      </x:c>
    </x:row>
    <x:row r="22">
      <x:c r="A22" s="36" t="n">
        <x:v>21</x:v>
      </x:c>
      <x:c r="B22" s="36" t="str">
        <x:v>HH03</x:v>
      </x:c>
      <x:c r="C22" s="36" t="n">
        <x:v>1979</x:v>
      </x:c>
      <x:c r="D22" s="37" t="str">
        <x:v>The Sugarhill Gang</x:v>
      </x:c>
      <x:c r="E22" s="37" t="str">
        <x:v>Rapper's Delight</x:v>
      </x:c>
      <x:c r="F22" s="37" t="str">
        <x:v>original long 12-inch version</x:v>
      </x:c>
      <x:c r="G22" s="37" t="str">
        <x:v>New Jersey</x:v>
      </x:c>
      <x:c r="H22" s="37" t="str">
        <x:v>party-rap; disco-band; commercial</x:v>
      </x:c>
      <x:c r="I22" s="37" t="str">
        <x:v>Commercial breakthrough and studio translation of MC routines</x:v>
      </x:c>
      <x:c r="J22" s="37" t="str">
        <x:v>provisional</x:v>
      </x:c>
      <x:c r="K22" s="37" t="str">
        <x:v>metadata_unverified</x:v>
      </x:c>
      <x:c r="L22" s="37" t="str">
        <x:v>soundcloud_unresolved</x:v>
      </x:c>
      <x:c r="M22" s="37" t="str"/>
      <x:c r="N22" s="37" t="str">
        <x:v>Canonical and cliched because indispensable</x:v>
      </x:c>
      <x:c r="O22" s="37" t="str">
        <x:v>us</x:v>
      </x:c>
      <x:c r="P22" s="37" t="str"/>
      <x:c r="Q22" s="37" t="n">
        <x:v>0</x:v>
      </x:c>
      <x:c r="R22" s="37" t="n">
        <x:v>0</x:v>
      </x:c>
      <x:c r="S22" s="37" t="n">
        <x:v>0</x:v>
      </x:c>
    </x:row>
    <x:row r="23">
      <x:c r="A23" s="36" t="n">
        <x:v>22</x:v>
      </x:c>
      <x:c r="B23" s="36" t="str">
        <x:v>HH03</x:v>
      </x:c>
      <x:c r="C23" s="36" t="n">
        <x:v>1979</x:v>
      </x:c>
      <x:c r="D23" s="37" t="str">
        <x:v>The Fatback Band featuring King Tim III</x:v>
      </x:c>
      <x:c r="E23" s="37" t="str">
        <x:v>King Tim III (Personality Jock)</x:v>
      </x:c>
      <x:c r="F23" s="37" t="str">
        <x:v>original 12-inch version</x:v>
      </x:c>
      <x:c r="G23" s="37" t="str">
        <x:v>New York</x:v>
      </x:c>
      <x:c r="H23" s="37" t="str">
        <x:v>funk-band; early-recorded-rap</x:v>
      </x:c>
      <x:c r="I23" s="37" t="str">
        <x:v>Rap embedded inside an established funk act</x:v>
      </x:c>
      <x:c r="J23" s="37" t="str">
        <x:v>provisional</x:v>
      </x:c>
      <x:c r="K23" s="37" t="str">
        <x:v>metadata_unverified</x:v>
      </x:c>
      <x:c r="L23" s="37" t="str">
        <x:v>soundcloud_unresolved</x:v>
      </x:c>
      <x:c r="M23" s="37" t="str"/>
      <x:c r="N23" s="37" t="str">
        <x:v>Verify original credit and duration</x:v>
      </x:c>
      <x:c r="O23" s="37" t="str">
        <x:v>us</x:v>
      </x:c>
      <x:c r="P23" s="37" t="str"/>
      <x:c r="Q23" s="37" t="n">
        <x:v>0</x:v>
      </x:c>
      <x:c r="R23" s="37" t="n">
        <x:v>0</x:v>
      </x:c>
      <x:c r="S23" s="37" t="n">
        <x:v>0</x:v>
      </x:c>
    </x:row>
    <x:row r="24">
      <x:c r="A24" s="36" t="n">
        <x:v>23</x:v>
      </x:c>
      <x:c r="B24" s="36" t="str">
        <x:v>HH03</x:v>
      </x:c>
      <x:c r="C24" s="36" t="n">
        <x:v>1979</x:v>
      </x:c>
      <x:c r="D24" s="37" t="str">
        <x:v>The Sequence</x:v>
      </x:c>
      <x:c r="E24" s="37" t="str">
        <x:v>Funk You Up</x:v>
      </x:c>
      <x:c r="F24" s="37" t="str">
        <x:v>original 12-inch version</x:v>
      </x:c>
      <x:c r="G24" s="37" t="str">
        <x:v>South Carolina / New York</x:v>
      </x:c>
      <x:c r="H24" s="37" t="str">
        <x:v>women; party-rap; Southern</x:v>
      </x:c>
      <x:c r="I24" s="37" t="str">
        <x:v>Early women-led recorded rap and non-New-York origin</x:v>
      </x:c>
      <x:c r="J24" s="37" t="str">
        <x:v>provisional</x:v>
      </x:c>
      <x:c r="K24" s="37" t="str">
        <x:v>metadata_unverified</x:v>
      </x:c>
      <x:c r="L24" s="37" t="str">
        <x:v>soundcloud_unresolved</x:v>
      </x:c>
      <x:c r="M24" s="37" t="str"/>
      <x:c r="N24" s="37" t="str">
        <x:v>Verify Sugar Hill issue</x:v>
      </x:c>
      <x:c r="O24" s="37" t="str">
        <x:v>us</x:v>
      </x:c>
      <x:c r="P24" s="37" t="str">
        <x:v>women</x:v>
      </x:c>
      <x:c r="Q24" s="37" t="n">
        <x:v>1</x:v>
      </x:c>
      <x:c r="R24" s="37" t="n">
        <x:v>0</x:v>
      </x:c>
      <x:c r="S24" s="37" t="n">
        <x:v>0</x:v>
      </x:c>
    </x:row>
    <x:row r="25">
      <x:c r="A25" s="36" t="n">
        <x:v>24</x:v>
      </x:c>
      <x:c r="B25" s="36" t="str">
        <x:v>HH03</x:v>
      </x:c>
      <x:c r="C25" s="36" t="n">
        <x:v>1979</x:v>
      </x:c>
      <x:c r="D25" s="37" t="str">
        <x:v>Lady B</x:v>
      </x:c>
      <x:c r="E25" s="37" t="str">
        <x:v>To the Beat Y'all</x:v>
      </x:c>
      <x:c r="F25" s="37" t="str">
        <x:v>original 12-inch version</x:v>
      </x:c>
      <x:c r="G25" s="37" t="str">
        <x:v>Philadelphia</x:v>
      </x:c>
      <x:c r="H25" s="37" t="str">
        <x:v>women; regional; party-rap</x:v>
      </x:c>
      <x:c r="I25" s="37" t="str">
        <x:v>Philadelphia's early recorded presence</x:v>
      </x:c>
      <x:c r="J25" s="37" t="str">
        <x:v>provisional</x:v>
      </x:c>
      <x:c r="K25" s="37" t="str">
        <x:v>metadata_unverified</x:v>
      </x:c>
      <x:c r="L25" s="37" t="str">
        <x:v>soundcloud_unresolved</x:v>
      </x:c>
      <x:c r="M25" s="37" t="str"/>
      <x:c r="N25" s="37" t="str">
        <x:v>Exact label issue required</x:v>
      </x:c>
      <x:c r="O25" s="37" t="str">
        <x:v>us</x:v>
      </x:c>
      <x:c r="P25" s="37" t="str">
        <x:v>women</x:v>
      </x:c>
      <x:c r="Q25" s="37" t="n">
        <x:v>1</x:v>
      </x:c>
      <x:c r="R25" s="37" t="n">
        <x:v>0</x:v>
      </x:c>
      <x:c r="S25" s="37" t="n">
        <x:v>0</x:v>
      </x:c>
    </x:row>
    <x:row r="26">
      <x:c r="A26" s="36" t="n">
        <x:v>25</x:v>
      </x:c>
      <x:c r="B26" s="36" t="str">
        <x:v>HH03</x:v>
      </x:c>
      <x:c r="C26" s="36" t="n">
        <x:v>1979</x:v>
      </x:c>
      <x:c r="D26" s="37" t="str">
        <x:v>Spoonie Gee</x:v>
      </x:c>
      <x:c r="E26" s="37" t="str">
        <x:v>Spoonin Rap</x:v>
      </x:c>
      <x:c r="F26" s="37" t="str">
        <x:v>original Sound of New York 12-inch</x:v>
      </x:c>
      <x:c r="G26" s="37" t="str">
        <x:v>New York</x:v>
      </x:c>
      <x:c r="H26" s="37" t="str">
        <x:v>solo-MC; old-school</x:v>
      </x:c>
      <x:c r="I26" s="37" t="str">
        <x:v>Intimate solo voice beside crew routines</x:v>
      </x:c>
      <x:c r="J26" s="37" t="str">
        <x:v>provisional</x:v>
      </x:c>
      <x:c r="K26" s="37" t="str">
        <x:v>metadata_unverified</x:v>
      </x:c>
      <x:c r="L26" s="37" t="str">
        <x:v>soundcloud_unresolved</x:v>
      </x:c>
      <x:c r="M26" s="37" t="str"/>
      <x:c r="N26" s="37" t="str">
        <x:v>Version verification required</x:v>
      </x:c>
      <x:c r="O26" s="37" t="str">
        <x:v>us</x:v>
      </x:c>
      <x:c r="P26" s="37" t="str"/>
      <x:c r="Q26" s="37" t="n">
        <x:v>0</x:v>
      </x:c>
      <x:c r="R26" s="37" t="n">
        <x:v>0</x:v>
      </x:c>
      <x:c r="S26" s="37" t="n">
        <x:v>0</x:v>
      </x:c>
    </x:row>
    <x:row r="27">
      <x:c r="A27" s="36" t="n">
        <x:v>26</x:v>
      </x:c>
      <x:c r="B27" s="36" t="str">
        <x:v>HH03</x:v>
      </x:c>
      <x:c r="C27" s="36" t="n">
        <x:v>1980</x:v>
      </x:c>
      <x:c r="D27" s="37" t="str">
        <x:v>Kurtis Blow</x:v>
      </x:c>
      <x:c r="E27" s="37" t="str">
        <x:v>The Breaks</x:v>
      </x:c>
      <x:c r="F27" s="37" t="str">
        <x:v>original 12-inch version</x:v>
      </x:c>
      <x:c r="G27" s="37" t="str">
        <x:v>New York</x:v>
      </x:c>
      <x:c r="H27" s="37" t="str">
        <x:v>party-rap; crossover</x:v>
      </x:c>
      <x:c r="I27" s="37" t="str">
        <x:v>Breakdown form and major-label crossover</x:v>
      </x:c>
      <x:c r="J27" s="37" t="str">
        <x:v>provisional</x:v>
      </x:c>
      <x:c r="K27" s="37" t="str">
        <x:v>metadata_unverified</x:v>
      </x:c>
      <x:c r="L27" s="37" t="str">
        <x:v>soundcloud_unresolved</x:v>
      </x:c>
      <x:c r="M27" s="37" t="str"/>
      <x:c r="N27" s="37" t="str">
        <x:v>Canonical</x:v>
      </x:c>
      <x:c r="O27" s="37" t="str">
        <x:v>us</x:v>
      </x:c>
      <x:c r="P27" s="37" t="str"/>
      <x:c r="Q27" s="37" t="n">
        <x:v>0</x:v>
      </x:c>
      <x:c r="R27" s="37" t="n">
        <x:v>0</x:v>
      </x:c>
      <x:c r="S27" s="37" t="n">
        <x:v>0</x:v>
      </x:c>
    </x:row>
    <x:row r="28">
      <x:c r="A28" s="36" t="n">
        <x:v>27</x:v>
      </x:c>
      <x:c r="B28" s="36" t="str">
        <x:v>HH03</x:v>
      </x:c>
      <x:c r="C28" s="36" t="n">
        <x:v>1980</x:v>
      </x:c>
      <x:c r="D28" s="37" t="str">
        <x:v>Brother D with Collective Effort</x:v>
      </x:c>
      <x:c r="E28" s="37" t="str">
        <x:v>How We Gonna Make the Black Nation Rise?</x:v>
      </x:c>
      <x:c r="F28" s="37" t="str">
        <x:v>original 12-inch version</x:v>
      </x:c>
      <x:c r="G28" s="37" t="str">
        <x:v>New York</x:v>
      </x:c>
      <x:c r="H28" s="37" t="str">
        <x:v>political; message</x:v>
      </x:c>
      <x:c r="I28" s="37" t="str">
        <x:v>Early explicitly political commercial rap</x:v>
      </x:c>
      <x:c r="J28" s="37" t="str">
        <x:v>provisional</x:v>
      </x:c>
      <x:c r="K28" s="37" t="str">
        <x:v>metadata_unverified</x:v>
      </x:c>
      <x:c r="L28" s="37" t="str">
        <x:v>soundcloud_unresolved</x:v>
      </x:c>
      <x:c r="M28" s="37" t="str"/>
      <x:c r="N28" s="37" t="str">
        <x:v>Recognition still unconfirmed</x:v>
      </x:c>
      <x:c r="O28" s="37" t="str">
        <x:v>us</x:v>
      </x:c>
      <x:c r="P28" s="37" t="str"/>
      <x:c r="Q28" s="37" t="n">
        <x:v>0</x:v>
      </x:c>
      <x:c r="R28" s="37" t="n">
        <x:v>0</x:v>
      </x:c>
      <x:c r="S28" s="37" t="n">
        <x:v>0</x:v>
      </x:c>
    </x:row>
    <x:row r="29">
      <x:c r="A29" s="36" t="n">
        <x:v>28</x:v>
      </x:c>
      <x:c r="B29" s="36" t="str">
        <x:v>HH03</x:v>
      </x:c>
      <x:c r="C29" s="36" t="n">
        <x:v>1980</x:v>
      </x:c>
      <x:c r="D29" s="37" t="str">
        <x:v>The Treacherous Three</x:v>
      </x:c>
      <x:c r="E29" s="37" t="str">
        <x:v>The New Rap Language</x:v>
      </x:c>
      <x:c r="F29" s="37" t="str">
        <x:v>original 12-inch version</x:v>
      </x:c>
      <x:c r="G29" s="37" t="str">
        <x:v>New York</x:v>
      </x:c>
      <x:c r="H29" s="37" t="str">
        <x:v>flow; speed; crew</x:v>
      </x:c>
      <x:c r="I29" s="37" t="str">
        <x:v>Rhythmic density and changing MC technique</x:v>
      </x:c>
      <x:c r="J29" s="37" t="str">
        <x:v>provisional</x:v>
      </x:c>
      <x:c r="K29" s="37" t="str">
        <x:v>metadata_unverified</x:v>
      </x:c>
      <x:c r="L29" s="37" t="str">
        <x:v>soundcloud_unresolved</x:v>
      </x:c>
      <x:c r="M29" s="37" t="str"/>
      <x:c r="N29" s="37" t="str">
        <x:v>Exact artist credit with Spoonie Gee</x:v>
      </x:c>
      <x:c r="O29" s="37" t="str">
        <x:v>us</x:v>
      </x:c>
      <x:c r="P29" s="37" t="str"/>
      <x:c r="Q29" s="37" t="n">
        <x:v>0</x:v>
      </x:c>
      <x:c r="R29" s="37" t="n">
        <x:v>0</x:v>
      </x:c>
      <x:c r="S29" s="37" t="n">
        <x:v>0</x:v>
      </x:c>
    </x:row>
    <x:row r="30">
      <x:c r="A30" s="36" t="n">
        <x:v>29</x:v>
      </x:c>
      <x:c r="B30" s="36" t="str">
        <x:v>HH03</x:v>
      </x:c>
      <x:c r="C30" s="36" t="n">
        <x:v>1980</x:v>
      </x:c>
      <x:c r="D30" s="37" t="str">
        <x:v>Funky Four Plus One</x:v>
      </x:c>
      <x:c r="E30" s="37" t="str">
        <x:v>That's the Joint</x:v>
      </x:c>
      <x:c r="F30" s="37" t="str">
        <x:v>original 12-inch version</x:v>
      </x:c>
      <x:c r="G30" s="37" t="str">
        <x:v>New York</x:v>
      </x:c>
      <x:c r="H30" s="37" t="str">
        <x:v>crew; women; party-rap</x:v>
      </x:c>
      <x:c r="I30" s="37" t="str">
        <x:v>Interlocking crew routine and Sha-Rock's presence</x:v>
      </x:c>
      <x:c r="J30" s="37" t="str">
        <x:v>provisional</x:v>
      </x:c>
      <x:c r="K30" s="37" t="str">
        <x:v>metadata_unverified</x:v>
      </x:c>
      <x:c r="L30" s="37" t="str">
        <x:v>soundcloud_unresolved</x:v>
      </x:c>
      <x:c r="M30" s="37" t="str"/>
      <x:c r="N30" s="37" t="str">
        <x:v>Canonical live-to-studio comparison</x:v>
      </x:c>
      <x:c r="O30" s="37" t="str">
        <x:v>us</x:v>
      </x:c>
      <x:c r="P30" s="37" t="str">
        <x:v>women</x:v>
      </x:c>
      <x:c r="Q30" s="37" t="n">
        <x:v>1</x:v>
      </x:c>
      <x:c r="R30" s="37" t="n">
        <x:v>0</x:v>
      </x:c>
      <x:c r="S30" s="37" t="n">
        <x:v>0</x:v>
      </x:c>
    </x:row>
    <x:row r="31">
      <x:c r="A31" s="36" t="n">
        <x:v>30</x:v>
      </x:c>
      <x:c r="B31" s="36" t="str">
        <x:v>HH03</x:v>
      </x:c>
      <x:c r="C31" s="36" t="n">
        <x:v>1981</x:v>
      </x:c>
      <x:c r="D31" s="37" t="str">
        <x:v>Grandmaster Flash</x:v>
      </x:c>
      <x:c r="E31" s="37" t="str">
        <x:v>The Adventures of Grandmaster Flash on the Wheels of Steel</x:v>
      </x:c>
      <x:c r="F31" s="37" t="str">
        <x:v>original 12-inch version</x:v>
      </x:c>
      <x:c r="G31" s="37" t="str">
        <x:v>New York</x:v>
      </x:c>
      <x:c r="H31" s="37" t="str">
        <x:v>DJ; turntablism; collage</x:v>
      </x:c>
      <x:c r="I31" s="37" t="str">
        <x:v>DJ technique becoming a composed commercial recording</x:v>
      </x:c>
      <x:c r="J31" s="37" t="str">
        <x:v>provisional</x:v>
      </x:c>
      <x:c r="K31" s="37" t="str">
        <x:v>metadata_unverified</x:v>
      </x:c>
      <x:c r="L31" s="37" t="str">
        <x:v>soundcloud_unresolved</x:v>
      </x:c>
      <x:c r="M31" s="37" t="str"/>
      <x:c r="N31" s="37" t="str">
        <x:v>Verify full 7-minute version</x:v>
      </x:c>
      <x:c r="O31" s="37" t="str">
        <x:v>us</x:v>
      </x:c>
      <x:c r="P31" s="37" t="str">
        <x:v>non_mc_role_or_live</x:v>
      </x:c>
      <x:c r="Q31" s="37" t="n">
        <x:v>0</x:v>
      </x:c>
      <x:c r="R31" s="37" t="n">
        <x:v>0</x:v>
      </x:c>
      <x:c r="S31" s="37" t="n">
        <x:v>1</x:v>
      </x:c>
    </x:row>
    <x:row r="32">
      <x:c r="A32" s="36" t="n">
        <x:v>31</x:v>
      </x:c>
      <x:c r="B32" s="36" t="str">
        <x:v>HH03</x:v>
      </x:c>
      <x:c r="C32" s="36" t="n">
        <x:v>1981</x:v>
      </x:c>
      <x:c r="D32" s="37" t="str">
        <x:v>Mean Machine</x:v>
      </x:c>
      <x:c r="E32" s="37" t="str">
        <x:v>Disco Dream</x:v>
      </x:c>
      <x:c r="F32" s="37" t="str">
        <x:v>original 12-inch version</x:v>
      </x:c>
      <x:c r="G32" s="37" t="str">
        <x:v>New York / Puerto Rican diaspora</x:v>
      </x:c>
      <x:c r="H32" s="37" t="str">
        <x:v>bilingual; Spanish; crew</x:v>
      </x:c>
      <x:c r="I32" s="37" t="str">
        <x:v>Spanish-English flow inside early New York rap</x:v>
      </x:c>
      <x:c r="J32" s="37" t="str">
        <x:v>provisional</x:v>
      </x:c>
      <x:c r="K32" s="37" t="str">
        <x:v>metadata_unverified</x:v>
      </x:c>
      <x:c r="L32" s="37" t="str">
        <x:v>soundcloud_unresolved</x:v>
      </x:c>
      <x:c r="M32" s="37" t="str"/>
      <x:c r="N32" s="37" t="str">
        <x:v>Transnational Latino foundation</x:v>
      </x:c>
      <x:c r="O32" s="37" t="str">
        <x:v>transnational_or_non_us</x:v>
      </x:c>
      <x:c r="P32" s="37" t="str"/>
      <x:c r="Q32" s="37" t="n">
        <x:v>0</x:v>
      </x:c>
      <x:c r="R32" s="37" t="n">
        <x:v>0</x:v>
      </x:c>
      <x:c r="S32" s="37" t="n">
        <x:v>0</x:v>
      </x:c>
    </x:row>
    <x:row r="33">
      <x:c r="A33" s="36" t="n">
        <x:v>32</x:v>
      </x:c>
      <x:c r="B33" s="36" t="str">
        <x:v>HH03</x:v>
      </x:c>
      <x:c r="C33" s="36" t="n">
        <x:v>1982</x:v>
      </x:c>
      <x:c r="D33" s="37" t="str">
        <x:v>Grandmaster Flash and the Furious Five</x:v>
      </x:c>
      <x:c r="E33" s="37" t="str">
        <x:v>The Message</x:v>
      </x:c>
      <x:c r="F33" s="37" t="str">
        <x:v>original 12-inch version</x:v>
      </x:c>
      <x:c r="G33" s="37" t="str">
        <x:v>New York</x:v>
      </x:c>
      <x:c r="H33" s="37" t="str">
        <x:v>message; social-reportage</x:v>
      </x:c>
      <x:c r="I33" s="37" t="str">
        <x:v>Social reportage as a major commercial form</x:v>
      </x:c>
      <x:c r="J33" s="37" t="str">
        <x:v>provisional</x:v>
      </x:c>
      <x:c r="K33" s="37" t="str">
        <x:v>metadata_unverified</x:v>
      </x:c>
      <x:c r="L33" s="37" t="str">
        <x:v>soundcloud_unresolved</x:v>
      </x:c>
      <x:c r="M33" s="37" t="str"/>
      <x:c r="N33" s="37" t="str">
        <x:v>Tom recognition anchor; exact credit required</x:v>
      </x:c>
      <x:c r="O33" s="37" t="str">
        <x:v>us</x:v>
      </x:c>
      <x:c r="P33" s="37" t="str"/>
      <x:c r="Q33" s="37" t="n">
        <x:v>0</x:v>
      </x:c>
      <x:c r="R33" s="37" t="n">
        <x:v>0</x:v>
      </x:c>
      <x:c r="S33" s="37" t="n">
        <x:v>0</x:v>
      </x:c>
    </x:row>
    <x:row r="34">
      <x:c r="A34" s="36" t="n">
        <x:v>33</x:v>
      </x:c>
      <x:c r="B34" s="36" t="str">
        <x:v>HH03</x:v>
      </x:c>
      <x:c r="C34" s="36" t="n">
        <x:v>1982</x:v>
      </x:c>
      <x:c r="D34" s="37" t="str">
        <x:v>Afrika Bambaataa and the Soulsonic Force</x:v>
      </x:c>
      <x:c r="E34" s="37" t="str">
        <x:v>Planet Rock</x:v>
      </x:c>
      <x:c r="F34" s="37" t="str">
        <x:v>original 12-inch vocal version</x:v>
      </x:c>
      <x:c r="G34" s="37" t="str">
        <x:v>New York</x:v>
      </x:c>
      <x:c r="H34" s="37" t="str">
        <x:v>electro; machine-funk; dance</x:v>
      </x:c>
      <x:c r="I34" s="37" t="str">
        <x:v>Electro futurism and transatlantic machine exchange</x:v>
      </x:c>
      <x:c r="J34" s="37" t="str">
        <x:v>provisional</x:v>
      </x:c>
      <x:c r="K34" s="37" t="str">
        <x:v>metadata_unverified</x:v>
      </x:c>
      <x:c r="L34" s="37" t="str">
        <x:v>soundcloud_unresolved</x:v>
      </x:c>
      <x:c r="M34" s="37" t="str"/>
      <x:c r="N34" s="37" t="str">
        <x:v>Distinguish instrumental and later remasters</x:v>
      </x:c>
      <x:c r="O34" s="37" t="str">
        <x:v>us</x:v>
      </x:c>
      <x:c r="P34" s="37" t="str"/>
      <x:c r="Q34" s="37" t="n">
        <x:v>0</x:v>
      </x:c>
      <x:c r="R34" s="37" t="n">
        <x:v>0</x:v>
      </x:c>
      <x:c r="S34" s="37" t="n">
        <x:v>0</x:v>
      </x:c>
    </x:row>
    <x:row r="35">
      <x:c r="A35" s="36" t="n">
        <x:v>34</x:v>
      </x:c>
      <x:c r="B35" s="36" t="str">
        <x:v>HH03</x:v>
      </x:c>
      <x:c r="C35" s="36" t="n">
        <x:v>1981</x:v>
      </x:c>
      <x:c r="D35" s="37" t="str">
        <x:v>Chagrin d'amour</x:v>
      </x:c>
      <x:c r="E35" s="37" t="str">
        <x:v>Chacun fait (c'qui lui plaît)</x:v>
      </x:c>
      <x:c r="F35" s="37" t="str">
        <x:v>original long version</x:v>
      </x:c>
      <x:c r="G35" s="37" t="str">
        <x:v>France</x:v>
      </x:c>
      <x:c r="H35" s="37" t="str">
        <x:v>French-language; global-uptake</x:v>
      </x:c>
      <x:c r="I35" s="37" t="str">
        <x:v>Early French-language rap-adjacent commercial adaptation</x:v>
      </x:c>
      <x:c r="J35" s="37" t="str">
        <x:v>provisional</x:v>
      </x:c>
      <x:c r="K35" s="37" t="str">
        <x:v>metadata_unverified</x:v>
      </x:c>
      <x:c r="L35" s="37" t="str">
        <x:v>soundcloud_unresolved</x:v>
      </x:c>
      <x:c r="M35" s="37" t="str"/>
      <x:c r="N35" s="37" t="str">
        <x:v>Boundary status requires contextual care</x:v>
      </x:c>
      <x:c r="O35" s="37" t="str">
        <x:v>transnational_or_non_us</x:v>
      </x:c>
      <x:c r="P35" s="37" t="str"/>
      <x:c r="Q35" s="37" t="n">
        <x:v>0</x:v>
      </x:c>
      <x:c r="R35" s="37" t="n">
        <x:v>0</x:v>
      </x:c>
      <x:c r="S35" s="37" t="n">
        <x:v>0</x:v>
      </x:c>
    </x:row>
    <x:row r="36">
      <x:c r="A36" s="36" t="n">
        <x:v>35</x:v>
      </x:c>
      <x:c r="B36" s="36" t="str">
        <x:v>HH03</x:v>
      </x:c>
      <x:c r="C36" s="36" t="n">
        <x:v>1981</x:v>
      </x:c>
      <x:c r="D36" s="37" t="str">
        <x:v>Yellow Magic Orchestra</x:v>
      </x:c>
      <x:c r="E36" s="37" t="str">
        <x:v>Rap Phenomena</x:v>
      </x:c>
      <x:c r="F36" s="37" t="str">
        <x:v>original BGM album version</x:v>
      </x:c>
      <x:c r="G36" s="37" t="str">
        <x:v>Japan</x:v>
      </x:c>
      <x:c r="H36" s="37" t="str">
        <x:v>Japanese; electro; experimental</x:v>
      </x:c>
      <x:c r="I36" s="37" t="str">
        <x:v>Early Japanese engagement with rap form and machine pop</x:v>
      </x:c>
      <x:c r="J36" s="37" t="str">
        <x:v>provisional</x:v>
      </x:c>
      <x:c r="K36" s="37" t="str">
        <x:v>metadata_unverified</x:v>
      </x:c>
      <x:c r="L36" s="37" t="str">
        <x:v>soundcloud_unresolved</x:v>
      </x:c>
      <x:c r="M36" s="37" t="str"/>
      <x:c r="N36" s="37" t="str">
        <x:v>Rap-adjacent boundary exhibit</x:v>
      </x:c>
      <x:c r="O36" s="37" t="str">
        <x:v>transnational_or_non_us</x:v>
      </x:c>
      <x:c r="P36" s="37" t="str"/>
      <x:c r="Q36" s="37" t="n">
        <x:v>0</x:v>
      </x:c>
      <x:c r="R36" s="37" t="n">
        <x:v>0</x:v>
      </x:c>
      <x:c r="S36" s="37" t="n">
        <x:v>0</x:v>
      </x:c>
    </x:row>
    <x:row r="37">
      <x:c r="A37" s="36" t="n">
        <x:v>36</x:v>
      </x:c>
      <x:c r="B37" s="36" t="str">
        <x:v>HH03</x:v>
      </x:c>
      <x:c r="C37" s="36" t="n">
        <x:v>1983</x:v>
      </x:c>
      <x:c r="D37" s="37" t="str">
        <x:v>Run-D.M.C.</x:v>
      </x:c>
      <x:c r="E37" s="37" t="str">
        <x:v>It's Like That</x:v>
      </x:c>
      <x:c r="F37" s="37" t="str">
        <x:v>original 12-inch version</x:v>
      </x:c>
      <x:c r="G37" s="37" t="str">
        <x:v>Queens / New York</x:v>
      </x:c>
      <x:c r="H37" s="37" t="str">
        <x:v>new-school; sparse-drums; message</x:v>
      </x:c>
      <x:c r="I37" s="37" t="str">
        <x:v>Sparse drum-machine attack and new vocal posture</x:v>
      </x:c>
      <x:c r="J37" s="37" t="str">
        <x:v>provisional</x:v>
      </x:c>
      <x:c r="K37" s="37" t="str">
        <x:v>metadata_unverified</x:v>
      </x:c>
      <x:c r="L37" s="37" t="str">
        <x:v>soundcloud_unresolved</x:v>
      </x:c>
      <x:c r="M37" s="37" t="str"/>
      <x:c r="N37" s="37" t="str">
        <x:v>Transition exhibit</x:v>
      </x:c>
      <x:c r="O37" s="37" t="str">
        <x:v>us</x:v>
      </x:c>
      <x:c r="P37" s="37" t="str"/>
      <x:c r="Q37" s="37" t="n">
        <x:v>0</x:v>
      </x:c>
      <x:c r="R37" s="37" t="n">
        <x:v>0</x:v>
      </x:c>
      <x:c r="S37" s="37" t="n">
        <x:v>0</x:v>
      </x:c>
    </x:row>
    <x:row r="38">
      <x:c r="A38" s="36" t="n">
        <x:v>37</x:v>
      </x:c>
      <x:c r="B38" s="36" t="str">
        <x:v>HH03</x:v>
      </x:c>
      <x:c r="C38" s="36" t="n">
        <x:v>1984</x:v>
      </x:c>
      <x:c r="D38" s="37" t="str">
        <x:v>Roxanne Shanté</x:v>
      </x:c>
      <x:c r="E38" s="37" t="str">
        <x:v>Roxanne's Revenge</x:v>
      </x:c>
      <x:c r="F38" s="37" t="str">
        <x:v>original Pop Art 12-inch version</x:v>
      </x:c>
      <x:c r="G38" s="37" t="str">
        <x:v>Queens / New York</x:v>
      </x:c>
      <x:c r="H38" s="37" t="str">
        <x:v>women; answer-record; battle</x:v>
      </x:c>
      <x:c r="I38" s="37" t="str">
        <x:v>Answer-record economy and teenage battle authority</x:v>
      </x:c>
      <x:c r="J38" s="37" t="str">
        <x:v>provisional</x:v>
      </x:c>
      <x:c r="K38" s="37" t="str">
        <x:v>metadata_unverified</x:v>
      </x:c>
      <x:c r="L38" s="37" t="str">
        <x:v>soundcloud_unresolved</x:v>
      </x:c>
      <x:c r="M38" s="37" t="str"/>
      <x:c r="N38" s="37" t="str">
        <x:v>Verify original versus re-recording</x:v>
      </x:c>
      <x:c r="O38" s="37" t="str">
        <x:v>us</x:v>
      </x:c>
      <x:c r="P38" s="37" t="str">
        <x:v>women</x:v>
      </x:c>
      <x:c r="Q38" s="37" t="n">
        <x:v>1</x:v>
      </x:c>
      <x:c r="R38" s="37" t="n">
        <x:v>0</x:v>
      </x:c>
      <x:c r="S38" s="37" t="n">
        <x:v>0</x:v>
      </x:c>
    </x:row>
    <x:row r="39">
      <x:c r="A39" s="36" t="n">
        <x:v>38</x:v>
      </x:c>
      <x:c r="B39" s="36" t="str">
        <x:v>HH03</x:v>
      </x:c>
      <x:c r="C39" s="36" t="n">
        <x:v>1983</x:v>
      </x:c>
      <x:c r="D39" s="37" t="str">
        <x:v>Newtrament</x:v>
      </x:c>
      <x:c r="E39" s="37" t="str">
        <x:v>London Bridge Is Falling Down</x:v>
      </x:c>
      <x:c r="F39" s="37" t="str">
        <x:v>original 12-inch version</x:v>
      </x:c>
      <x:c r="G39" s="37" t="str">
        <x:v>United Kingdom</x:v>
      </x:c>
      <x:c r="H39" s="37" t="str">
        <x:v>UK-rap; electro; global-uptake</x:v>
      </x:c>
      <x:c r="I39" s="37" t="str">
        <x:v>Early recorded British rap and electro adaptation</x:v>
      </x:c>
      <x:c r="J39" s="37" t="str">
        <x:v>provisional</x:v>
      </x:c>
      <x:c r="K39" s="37" t="str">
        <x:v>metadata_unverified</x:v>
      </x:c>
      <x:c r="L39" s="37" t="str">
        <x:v>soundcloud_unresolved</x:v>
      </x:c>
      <x:c r="M39" s="37" t="str"/>
      <x:c r="N39" s="37" t="str">
        <x:v>Verify label and mix</x:v>
      </x:c>
      <x:c r="O39" s="37" t="str">
        <x:v>transnational_or_non_us</x:v>
      </x:c>
      <x:c r="P39" s="37" t="str"/>
      <x:c r="Q39" s="37" t="n">
        <x:v>0</x:v>
      </x:c>
      <x:c r="R39" s="37" t="n">
        <x:v>0</x:v>
      </x:c>
      <x:c r="S39" s="37" t="n">
        <x:v>0</x:v>
      </x:c>
    </x:row>
    <x:row r="40">
      <x:c r="A40" s="36" t="n">
        <x:v>39</x:v>
      </x:c>
      <x:c r="B40" s="36" t="str">
        <x:v>HH04</x:v>
      </x:c>
      <x:c r="C40" s="36" t="n">
        <x:v>1983</x:v>
      </x:c>
      <x:c r="D40" s="37" t="str">
        <x:v>Run-D.M.C.</x:v>
      </x:c>
      <x:c r="E40" s="37" t="str">
        <x:v>Sucker M.C.'s (Krush-Groove 1)</x:v>
      </x:c>
      <x:c r="F40" s="37" t="str">
        <x:v>original 12-inch version</x:v>
      </x:c>
      <x:c r="G40" s="37" t="str">
        <x:v>Queens / New York</x:v>
      </x:c>
      <x:c r="H40" s="37" t="str">
        <x:v>new-school; sparse-drums</x:v>
      </x:c>
      <x:c r="I40" s="37" t="str">
        <x:v>Austere drums and changed MC-DJ relationship</x:v>
      </x:c>
      <x:c r="J40" s="37" t="str">
        <x:v>provisional</x:v>
      </x:c>
      <x:c r="K40" s="37" t="str">
        <x:v>metadata_unverified</x:v>
      </x:c>
      <x:c r="L40" s="37" t="str">
        <x:v>soundcloud_unresolved</x:v>
      </x:c>
      <x:c r="M40" s="37" t="str"/>
      <x:c r="N40" s="37" t="str">
        <x:v>Chronological bridge</x:v>
      </x:c>
      <x:c r="O40" s="37" t="str">
        <x:v>us</x:v>
      </x:c>
      <x:c r="P40" s="37" t="str"/>
      <x:c r="Q40" s="37" t="n">
        <x:v>0</x:v>
      </x:c>
      <x:c r="R40" s="37" t="n">
        <x:v>0</x:v>
      </x:c>
      <x:c r="S40" s="37" t="n">
        <x:v>0</x:v>
      </x:c>
    </x:row>
    <x:row r="41">
      <x:c r="A41" s="36" t="n">
        <x:v>40</x:v>
      </x:c>
      <x:c r="B41" s="36" t="str">
        <x:v>HH04</x:v>
      </x:c>
      <x:c r="C41" s="36" t="n">
        <x:v>1985</x:v>
      </x:c>
      <x:c r="D41" s="37" t="str">
        <x:v>LL Cool J</x:v>
      </x:c>
      <x:c r="E41" s="37" t="str">
        <x:v>I Can't Live Without My Radio</x:v>
      </x:c>
      <x:c r="F41" s="37" t="str">
        <x:v>original Radio album version</x:v>
      </x:c>
      <x:c r="G41" s="37" t="str">
        <x:v>Queens / New York</x:v>
      </x:c>
      <x:c r="H41" s="37" t="str">
        <x:v>new-school; Def-Jam; persona</x:v>
      </x:c>
      <x:c r="I41" s="37" t="str">
        <x:v>Solo star power and hard minimal production</x:v>
      </x:c>
      <x:c r="J41" s="37" t="str">
        <x:v>provisional</x:v>
      </x:c>
      <x:c r="K41" s="37" t="str">
        <x:v>metadata_unverified</x:v>
      </x:c>
      <x:c r="L41" s="37" t="str">
        <x:v>soundcloud_unresolved</x:v>
      </x:c>
      <x:c r="M41" s="37" t="str"/>
      <x:c r="N41" s="37" t="str">
        <x:v>Canonical</x:v>
      </x:c>
      <x:c r="O41" s="37" t="str">
        <x:v>us</x:v>
      </x:c>
      <x:c r="P41" s="37" t="str"/>
      <x:c r="Q41" s="37" t="n">
        <x:v>0</x:v>
      </x:c>
      <x:c r="R41" s="37" t="n">
        <x:v>0</x:v>
      </x:c>
      <x:c r="S41" s="37" t="n">
        <x:v>0</x:v>
      </x:c>
    </x:row>
    <x:row r="42">
      <x:c r="A42" s="36" t="n">
        <x:v>41</x:v>
      </x:c>
      <x:c r="B42" s="36" t="str">
        <x:v>HH04</x:v>
      </x:c>
      <x:c r="C42" s="36" t="n">
        <x:v>1985</x:v>
      </x:c>
      <x:c r="D42" s="37" t="str">
        <x:v>Schoolly D</x:v>
      </x:c>
      <x:c r="E42" s="37" t="str">
        <x:v>P.S.K. What Does It Mean?</x:v>
      </x:c>
      <x:c r="F42" s="37" t="str">
        <x:v>original 12-inch version</x:v>
      </x:c>
      <x:c r="G42" s="37" t="str">
        <x:v>Philadelphia</x:v>
      </x:c>
      <x:c r="H42" s="37" t="str">
        <x:v>gangsta-lineage; drum-machine</x:v>
      </x:c>
      <x:c r="I42" s="37" t="str">
        <x:v>Philadelphia minimalism and gangsta-rap precursor debate</x:v>
      </x:c>
      <x:c r="J42" s="37" t="str">
        <x:v>provisional</x:v>
      </x:c>
      <x:c r="K42" s="37" t="str">
        <x:v>metadata_unverified</x:v>
      </x:c>
      <x:c r="L42" s="37" t="str">
        <x:v>soundcloud_unresolved</x:v>
      </x:c>
      <x:c r="M42" s="37" t="str"/>
      <x:c r="N42" s="37" t="str">
        <x:v>Avoid single-invention claim</x:v>
      </x:c>
      <x:c r="O42" s="37" t="str">
        <x:v>us</x:v>
      </x:c>
      <x:c r="P42" s="37" t="str"/>
      <x:c r="Q42" s="37" t="n">
        <x:v>0</x:v>
      </x:c>
      <x:c r="R42" s="37" t="n">
        <x:v>0</x:v>
      </x:c>
      <x:c r="S42" s="37" t="n">
        <x:v>0</x:v>
      </x:c>
    </x:row>
    <x:row r="43">
      <x:c r="A43" s="36" t="n">
        <x:v>42</x:v>
      </x:c>
      <x:c r="B43" s="36" t="str">
        <x:v>HH04</x:v>
      </x:c>
      <x:c r="C43" s="36" t="n">
        <x:v>1985</x:v>
      </x:c>
      <x:c r="D43" s="37" t="str">
        <x:v>Doug E. Fresh and the Get Fresh Crew</x:v>
      </x:c>
      <x:c r="E43" s="37" t="str">
        <x:v>The Show</x:v>
      </x:c>
      <x:c r="F43" s="37" t="str">
        <x:v>original 12-inch version</x:v>
      </x:c>
      <x:c r="G43" s="37" t="str">
        <x:v>New York</x:v>
      </x:c>
      <x:c r="H43" s="37" t="str">
        <x:v>beatbox; crew; performance</x:v>
      </x:c>
      <x:c r="I43" s="37" t="str">
        <x:v>Human beatboxing and theatrical crew arrangement</x:v>
      </x:c>
      <x:c r="J43" s="37" t="str">
        <x:v>provisional</x:v>
      </x:c>
      <x:c r="K43" s="37" t="str">
        <x:v>metadata_unverified</x:v>
      </x:c>
      <x:c r="L43" s="37" t="str">
        <x:v>soundcloud_unresolved</x:v>
      </x:c>
      <x:c r="M43" s="37" t="str"/>
      <x:c r="N43" s="37" t="str">
        <x:v>Pair with La Di Da Di if fringe space allows</x:v>
      </x:c>
      <x:c r="O43" s="37" t="str">
        <x:v>us</x:v>
      </x:c>
      <x:c r="P43" s="37" t="str"/>
      <x:c r="Q43" s="37" t="n">
        <x:v>0</x:v>
      </x:c>
      <x:c r="R43" s="37" t="n">
        <x:v>0</x:v>
      </x:c>
      <x:c r="S43" s="37" t="n">
        <x:v>0</x:v>
      </x:c>
    </x:row>
    <x:row r="44">
      <x:c r="A44" s="36" t="n">
        <x:v>43</x:v>
      </x:c>
      <x:c r="B44" s="36" t="str">
        <x:v>HH04</x:v>
      </x:c>
      <x:c r="C44" s="36" t="n">
        <x:v>1986</x:v>
      </x:c>
      <x:c r="D44" s="37" t="str">
        <x:v>Eric B. &amp; Rakim</x:v>
      </x:c>
      <x:c r="E44" s="37" t="str">
        <x:v>Eric B. Is President</x:v>
      </x:c>
      <x:c r="F44" s="37" t="str">
        <x:v>original 12-inch version</x:v>
      </x:c>
      <x:c r="G44" s="37" t="str">
        <x:v>Long Island / New York</x:v>
      </x:c>
      <x:c r="H44" s="37" t="str">
        <x:v>flow; sampling; DJ-MC</x:v>
      </x:c>
      <x:c r="I44" s="37" t="str">
        <x:v>A changed internal rhyme and flow standard</x:v>
      </x:c>
      <x:c r="J44" s="37" t="str">
        <x:v>provisional</x:v>
      </x:c>
      <x:c r="K44" s="37" t="str">
        <x:v>metadata_unverified</x:v>
      </x:c>
      <x:c r="L44" s="37" t="str">
        <x:v>soundcloud_unresolved</x:v>
      </x:c>
      <x:c r="M44" s="37" t="str"/>
      <x:c r="N44" s="37" t="str">
        <x:v>Verify Marley Marl role carefully</x:v>
      </x:c>
      <x:c r="O44" s="37" t="str">
        <x:v>us</x:v>
      </x:c>
      <x:c r="P44" s="37" t="str">
        <x:v>non_mc_role_or_live</x:v>
      </x:c>
      <x:c r="Q44" s="37" t="n">
        <x:v>0</x:v>
      </x:c>
      <x:c r="R44" s="37" t="n">
        <x:v>0</x:v>
      </x:c>
      <x:c r="S44" s="37" t="n">
        <x:v>1</x:v>
      </x:c>
    </x:row>
    <x:row r="45">
      <x:c r="A45" s="36" t="n">
        <x:v>44</x:v>
      </x:c>
      <x:c r="B45" s="36" t="str">
        <x:v>HH04</x:v>
      </x:c>
      <x:c r="C45" s="36" t="n">
        <x:v>1986</x:v>
      </x:c>
      <x:c r="D45" s="37" t="str">
        <x:v>Boogie Down Productions</x:v>
      </x:c>
      <x:c r="E45" s="37" t="str">
        <x:v>South Bronx</x:v>
      </x:c>
      <x:c r="F45" s="37" t="str">
        <x:v>original 12-inch version</x:v>
      </x:c>
      <x:c r="G45" s="37" t="str">
        <x:v>Bronx / New York</x:v>
      </x:c>
      <x:c r="H45" s="37" t="str">
        <x:v>battle; regional-identity; sampling</x:v>
      </x:c>
      <x:c r="I45" s="37" t="str">
        <x:v>Battle record as historical and geographic argument</x:v>
      </x:c>
      <x:c r="J45" s="37" t="str">
        <x:v>provisional</x:v>
      </x:c>
      <x:c r="K45" s="37" t="str">
        <x:v>metadata_unverified</x:v>
      </x:c>
      <x:c r="L45" s="37" t="str">
        <x:v>soundcloud_unresolved</x:v>
      </x:c>
      <x:c r="M45" s="37" t="str"/>
      <x:c r="N45" s="37" t="str">
        <x:v>Bridge to Bridge Wars context</x:v>
      </x:c>
      <x:c r="O45" s="37" t="str">
        <x:v>us</x:v>
      </x:c>
      <x:c r="P45" s="37" t="str"/>
      <x:c r="Q45" s="37" t="n">
        <x:v>0</x:v>
      </x:c>
      <x:c r="R45" s="37" t="n">
        <x:v>0</x:v>
      </x:c>
      <x:c r="S45" s="37" t="n">
        <x:v>0</x:v>
      </x:c>
    </x:row>
    <x:row r="46">
      <x:c r="A46" s="36" t="n">
        <x:v>45</x:v>
      </x:c>
      <x:c r="B46" s="36" t="str">
        <x:v>HH04</x:v>
      </x:c>
      <x:c r="C46" s="36" t="n">
        <x:v>1986</x:v>
      </x:c>
      <x:c r="D46" s="37" t="str">
        <x:v>Beastie Boys</x:v>
      </x:c>
      <x:c r="E46" s="37" t="str">
        <x:v>Paul Revere</x:v>
      </x:c>
      <x:c r="F46" s="37" t="str">
        <x:v>original Licensed to Ill album version</x:v>
      </x:c>
      <x:c r="G46" s="37" t="str">
        <x:v>New York</x:v>
      </x:c>
      <x:c r="H46" s="37" t="str">
        <x:v>Def-Jam; crossover; reverse-tape</x:v>
      </x:c>
      <x:c r="I46" s="37" t="str">
        <x:v>White participation commercial scale and studio play</x:v>
      </x:c>
      <x:c r="J46" s="37" t="str">
        <x:v>provisional</x:v>
      </x:c>
      <x:c r="K46" s="37" t="str">
        <x:v>metadata_unverified</x:v>
      </x:c>
      <x:c r="L46" s="37" t="str">
        <x:v>soundcloud_unresolved</x:v>
      </x:c>
      <x:c r="M46" s="37" t="str"/>
      <x:c r="N46" s="37" t="str">
        <x:v>Canonical but not sole Beasties representative</x:v>
      </x:c>
      <x:c r="O46" s="37" t="str">
        <x:v>us</x:v>
      </x:c>
      <x:c r="P46" s="37" t="str"/>
      <x:c r="Q46" s="37" t="n">
        <x:v>0</x:v>
      </x:c>
      <x:c r="R46" s="37" t="n">
        <x:v>0</x:v>
      </x:c>
      <x:c r="S46" s="37" t="n">
        <x:v>0</x:v>
      </x:c>
    </x:row>
    <x:row r="47">
      <x:c r="A47" s="36" t="n">
        <x:v>46</x:v>
      </x:c>
      <x:c r="B47" s="36" t="str">
        <x:v>HH04</x:v>
      </x:c>
      <x:c r="C47" s="36" t="n">
        <x:v>1986</x:v>
      </x:c>
      <x:c r="D47" s="37" t="str">
        <x:v>Ultramagnetic MC's</x:v>
      </x:c>
      <x:c r="E47" s="37" t="str">
        <x:v>Ego Trippin'</x:v>
      </x:c>
      <x:c r="F47" s="37" t="str">
        <x:v>original 12-inch version</x:v>
      </x:c>
      <x:c r="G47" s="37" t="str">
        <x:v>Bronx / New York</x:v>
      </x:c>
      <x:c r="H47" s="37" t="str">
        <x:v>sampling; experimental; battle</x:v>
      </x:c>
      <x:c r="I47" s="37" t="str">
        <x:v>Unstable samples and eccentric verbal attack</x:v>
      </x:c>
      <x:c r="J47" s="37" t="str">
        <x:v>provisional</x:v>
      </x:c>
      <x:c r="K47" s="37" t="str">
        <x:v>metadata_unverified</x:v>
      </x:c>
      <x:c r="L47" s="37" t="str">
        <x:v>soundcloud_unresolved</x:v>
      </x:c>
      <x:c r="M47" s="37" t="str"/>
      <x:c r="N47" s="37" t="str">
        <x:v>Deep-route anchor</x:v>
      </x:c>
      <x:c r="O47" s="37" t="str">
        <x:v>us</x:v>
      </x:c>
      <x:c r="P47" s="37" t="str"/>
      <x:c r="Q47" s="37" t="n">
        <x:v>0</x:v>
      </x:c>
      <x:c r="R47" s="37" t="n">
        <x:v>0</x:v>
      </x:c>
      <x:c r="S47" s="37" t="n">
        <x:v>0</x:v>
      </x:c>
    </x:row>
    <x:row r="48">
      <x:c r="A48" s="36" t="n">
        <x:v>47</x:v>
      </x:c>
      <x:c r="B48" s="36" t="str">
        <x:v>HH04</x:v>
      </x:c>
      <x:c r="C48" s="36" t="n">
        <x:v>1986</x:v>
      </x:c>
      <x:c r="D48" s="37" t="str">
        <x:v>Biz Markie</x:v>
      </x:c>
      <x:c r="E48" s="37" t="str">
        <x:v>Make the Music with Your Mouth Biz</x:v>
      </x:c>
      <x:c r="F48" s="37" t="str">
        <x:v>original 12-inch version</x:v>
      </x:c>
      <x:c r="G48" s="37" t="str">
        <x:v>New York</x:v>
      </x:c>
      <x:c r="H48" s="37" t="str">
        <x:v>beatbox; humor; Marley-Marl</x:v>
      </x:c>
      <x:c r="I48" s="37" t="str">
        <x:v>Beatbox as hook rhythm and comic persona</x:v>
      </x:c>
      <x:c r="J48" s="37" t="str">
        <x:v>provisional</x:v>
      </x:c>
      <x:c r="K48" s="37" t="str">
        <x:v>metadata_unverified</x:v>
      </x:c>
      <x:c r="L48" s="37" t="str">
        <x:v>soundcloud_unresolved</x:v>
      </x:c>
      <x:c r="M48" s="37" t="str"/>
      <x:c r="N48" s="37" t="str">
        <x:v>Verify version</x:v>
      </x:c>
      <x:c r="O48" s="37" t="str">
        <x:v>us</x:v>
      </x:c>
      <x:c r="P48" s="37" t="str"/>
      <x:c r="Q48" s="37" t="n">
        <x:v>0</x:v>
      </x:c>
      <x:c r="R48" s="37" t="n">
        <x:v>0</x:v>
      </x:c>
      <x:c r="S48" s="37" t="n">
        <x:v>0</x:v>
      </x:c>
    </x:row>
    <x:row r="49">
      <x:c r="A49" s="36" t="n">
        <x:v>48</x:v>
      </x:c>
      <x:c r="B49" s="36" t="str">
        <x:v>HH04</x:v>
      </x:c>
      <x:c r="C49" s="36" t="n">
        <x:v>1986</x:v>
      </x:c>
      <x:c r="D49" s="37" t="str">
        <x:v>2 Live Crew</x:v>
      </x:c>
      <x:c r="E49" s="37" t="str">
        <x:v>Throw the D</x:v>
      </x:c>
      <x:c r="F49" s="37" t="str">
        <x:v>original 12-inch version</x:v>
      </x:c>
      <x:c r="G49" s="37" t="str">
        <x:v>Miami</x:v>
      </x:c>
      <x:c r="H49" s="37" t="str">
        <x:v>Miami-bass; dance; explicit</x:v>
      </x:c>
      <x:c r="I49" s="37" t="str">
        <x:v>Miami bass rhythm and dance instruction</x:v>
      </x:c>
      <x:c r="J49" s="37" t="str">
        <x:v>provisional</x:v>
      </x:c>
      <x:c r="K49" s="37" t="str">
        <x:v>metadata_unverified</x:v>
      </x:c>
      <x:c r="L49" s="37" t="str">
        <x:v>soundcloud_unresolved</x:v>
      </x:c>
      <x:c r="M49" s="37" t="str"/>
      <x:c r="N49" s="37" t="str">
        <x:v>Explicit content eligible</x:v>
      </x:c>
      <x:c r="O49" s="37" t="str">
        <x:v>us</x:v>
      </x:c>
      <x:c r="P49" s="37" t="str"/>
      <x:c r="Q49" s="37" t="n">
        <x:v>0</x:v>
      </x:c>
      <x:c r="R49" s="37" t="n">
        <x:v>0</x:v>
      </x:c>
      <x:c r="S49" s="37" t="n">
        <x:v>0</x:v>
      </x:c>
    </x:row>
    <x:row r="50">
      <x:c r="A50" s="36" t="n">
        <x:v>49</x:v>
      </x:c>
      <x:c r="B50" s="36" t="str">
        <x:v>HH04</x:v>
      </x:c>
      <x:c r="C50" s="36" t="n">
        <x:v>1987</x:v>
      </x:c>
      <x:c r="D50" s="37" t="str">
        <x:v>MC Lyte</x:v>
      </x:c>
      <x:c r="E50" s="37" t="str">
        <x:v>I Cram to Understand U (Sam)</x:v>
      </x:c>
      <x:c r="F50" s="37" t="str">
        <x:v>original album version</x:v>
      </x:c>
      <x:c r="G50" s="37" t="str">
        <x:v>Brooklyn / New York</x:v>
      </x:c>
      <x:c r="H50" s="37" t="str">
        <x:v>women; narrative; anti-drug</x:v>
      </x:c>
      <x:c r="I50" s="37" t="str">
        <x:v>Narrative control and early woman solo album authority</x:v>
      </x:c>
      <x:c r="J50" s="37" t="str">
        <x:v>provisional</x:v>
      </x:c>
      <x:c r="K50" s="37" t="str">
        <x:v>metadata_unverified</x:v>
      </x:c>
      <x:c r="L50" s="37" t="str">
        <x:v>soundcloud_unresolved</x:v>
      </x:c>
      <x:c r="M50" s="37" t="str"/>
      <x:c r="N50" s="37" t="str">
        <x:v>Verify 1987 First Priority issue</x:v>
      </x:c>
      <x:c r="O50" s="37" t="str">
        <x:v>us</x:v>
      </x:c>
      <x:c r="P50" s="37" t="str">
        <x:v>women</x:v>
      </x:c>
      <x:c r="Q50" s="37" t="n">
        <x:v>1</x:v>
      </x:c>
      <x:c r="R50" s="37" t="n">
        <x:v>0</x:v>
      </x:c>
      <x:c r="S50" s="37" t="n">
        <x:v>0</x:v>
      </x:c>
    </x:row>
    <x:row r="51">
      <x:c r="A51" s="36" t="n">
        <x:v>50</x:v>
      </x:c>
      <x:c r="B51" s="36" t="str">
        <x:v>HH04</x:v>
      </x:c>
      <x:c r="C51" s="36" t="n">
        <x:v>1987</x:v>
      </x:c>
      <x:c r="D51" s="37" t="str">
        <x:v>Salt-N-Pepa</x:v>
      </x:c>
      <x:c r="E51" s="37" t="str">
        <x:v>Push It</x:v>
      </x:c>
      <x:c r="F51" s="37" t="str">
        <x:v>preferred original hit remix to be fixed</x:v>
      </x:c>
      <x:c r="G51" s="37" t="str">
        <x:v>Queens / New York</x:v>
      </x:c>
      <x:c r="H51" s="37" t="str">
        <x:v>women; dance; crossover</x:v>
      </x:c>
      <x:c r="I51" s="37" t="str">
        <x:v>Women-led crossover and dance-floor minimalism</x:v>
      </x:c>
      <x:c r="J51" s="37" t="str">
        <x:v>provisional</x:v>
      </x:c>
      <x:c r="K51" s="37" t="str">
        <x:v>metadata_unverified</x:v>
      </x:c>
      <x:c r="L51" s="37" t="str">
        <x:v>soundcloud_unresolved</x:v>
      </x:c>
      <x:c r="M51" s="37" t="str"/>
      <x:c r="N51" s="37" t="str">
        <x:v>Version is a known trap; resolve remix identity</x:v>
      </x:c>
      <x:c r="O51" s="37" t="str">
        <x:v>us</x:v>
      </x:c>
      <x:c r="P51" s="37" t="str">
        <x:v>women</x:v>
      </x:c>
      <x:c r="Q51" s="37" t="n">
        <x:v>1</x:v>
      </x:c>
      <x:c r="R51" s="37" t="n">
        <x:v>0</x:v>
      </x:c>
      <x:c r="S51" s="37" t="n">
        <x:v>0</x:v>
      </x:c>
    </x:row>
    <x:row r="52">
      <x:c r="A52" s="36" t="n">
        <x:v>51</x:v>
      </x:c>
      <x:c r="B52" s="36" t="str">
        <x:v>HH04</x:v>
      </x:c>
      <x:c r="C52" s="36" t="n">
        <x:v>1987</x:v>
      </x:c>
      <x:c r="D52" s="37" t="str">
        <x:v>Public Enemy</x:v>
      </x:c>
      <x:c r="E52" s="37" t="str">
        <x:v>Rebel Without a Pause</x:v>
      </x:c>
      <x:c r="F52" s="37" t="str">
        <x:v>original It Takes a Nation album version</x:v>
      </x:c>
      <x:c r="G52" s="37" t="str">
        <x:v>Long Island / New York</x:v>
      </x:c>
      <x:c r="H52" s="37" t="str">
        <x:v>political; Bomb-Squad; dense-production</x:v>
      </x:c>
      <x:c r="I52" s="37" t="str">
        <x:v>Siren-like density and collective political attack</x:v>
      </x:c>
      <x:c r="J52" s="37" t="str">
        <x:v>provisional</x:v>
      </x:c>
      <x:c r="K52" s="37" t="str">
        <x:v>metadata_unverified</x:v>
      </x:c>
      <x:c r="L52" s="37" t="str">
        <x:v>soundcloud_unresolved</x:v>
      </x:c>
      <x:c r="M52" s="37" t="str"/>
      <x:c r="N52" s="37" t="str">
        <x:v>Canonical</x:v>
      </x:c>
      <x:c r="O52" s="37" t="str">
        <x:v>us</x:v>
      </x:c>
      <x:c r="P52" s="37" t="str"/>
      <x:c r="Q52" s="37" t="n">
        <x:v>0</x:v>
      </x:c>
      <x:c r="R52" s="37" t="n">
        <x:v>0</x:v>
      </x:c>
      <x:c r="S52" s="37" t="n">
        <x:v>0</x:v>
      </x:c>
    </x:row>
    <x:row r="53">
      <x:c r="A53" s="36" t="n">
        <x:v>52</x:v>
      </x:c>
      <x:c r="B53" s="36" t="str">
        <x:v>HH04</x:v>
      </x:c>
      <x:c r="C53" s="36" t="n">
        <x:v>1987</x:v>
      </x:c>
      <x:c r="D53" s="37" t="str">
        <x:v>EPMD</x:v>
      </x:c>
      <x:c r="E53" s="37" t="str">
        <x:v>It's My Thing</x:v>
      </x:c>
      <x:c r="F53" s="37" t="str">
        <x:v>original 12-inch version</x:v>
      </x:c>
      <x:c r="G53" s="37" t="str">
        <x:v>Long Island / New York</x:v>
      </x:c>
      <x:c r="H53" s="37" t="str">
        <x:v>funk-sampling; duo</x:v>
      </x:c>
      <x:c r="I53" s="37" t="str">
        <x:v>Laid-back duo flow over heavy funk sample logic</x:v>
      </x:c>
      <x:c r="J53" s="37" t="str">
        <x:v>provisional</x:v>
      </x:c>
      <x:c r="K53" s="37" t="str">
        <x:v>metadata_unverified</x:v>
      </x:c>
      <x:c r="L53" s="37" t="str">
        <x:v>soundcloud_unresolved</x:v>
      </x:c>
      <x:c r="M53" s="37" t="str"/>
      <x:c r="N53" s="37" t="str">
        <x:v>Verify Sleeping Bag issue</x:v>
      </x:c>
      <x:c r="O53" s="37" t="str">
        <x:v>us</x:v>
      </x:c>
      <x:c r="P53" s="37" t="str"/>
      <x:c r="Q53" s="37" t="n">
        <x:v>0</x:v>
      </x:c>
      <x:c r="R53" s="37" t="n">
        <x:v>0</x:v>
      </x:c>
      <x:c r="S53" s="37" t="n">
        <x:v>0</x:v>
      </x:c>
    </x:row>
    <x:row r="54">
      <x:c r="A54" s="36" t="n">
        <x:v>53</x:v>
      </x:c>
      <x:c r="B54" s="36" t="str">
        <x:v>HH04</x:v>
      </x:c>
      <x:c r="C54" s="36" t="n">
        <x:v>1987</x:v>
      </x:c>
      <x:c r="D54" s="37" t="str">
        <x:v>Audio Two</x:v>
      </x:c>
      <x:c r="E54" s="37" t="str">
        <x:v>Top Billin'</x:v>
      </x:c>
      <x:c r="F54" s="37" t="str">
        <x:v>original 12-inch version</x:v>
      </x:c>
      <x:c r="G54" s="37" t="str">
        <x:v>Brooklyn / New York</x:v>
      </x:c>
      <x:c r="H54" s="37" t="str">
        <x:v>minimalism; break; sample</x:v>
      </x:c>
      <x:c r="I54" s="37" t="str">
        <x:v>Radical rhythmic economy and long sample afterlife</x:v>
      </x:c>
      <x:c r="J54" s="37" t="str">
        <x:v>provisional</x:v>
      </x:c>
      <x:c r="K54" s="37" t="str">
        <x:v>metadata_unverified</x:v>
      </x:c>
      <x:c r="L54" s="37" t="str">
        <x:v>soundcloud_unresolved</x:v>
      </x:c>
      <x:c r="M54" s="37" t="str"/>
      <x:c r="N54" s="37" t="str">
        <x:v>Canonical production exhibit</x:v>
      </x:c>
      <x:c r="O54" s="37" t="str">
        <x:v>us</x:v>
      </x:c>
      <x:c r="P54" s="37" t="str"/>
      <x:c r="Q54" s="37" t="n">
        <x:v>0</x:v>
      </x:c>
      <x:c r="R54" s="37" t="n">
        <x:v>0</x:v>
      </x:c>
      <x:c r="S54" s="37" t="n">
        <x:v>0</x:v>
      </x:c>
    </x:row>
    <x:row r="55">
      <x:c r="A55" s="36" t="n">
        <x:v>54</x:v>
      </x:c>
      <x:c r="B55" s="36" t="str">
        <x:v>HH04</x:v>
      </x:c>
      <x:c r="C55" s="36" t="n">
        <x:v>1984</x:v>
      </x:c>
      <x:c r="D55" s="37" t="str">
        <x:v>Dee Nasty</x:v>
      </x:c>
      <x:c r="E55" s="37" t="str">
        <x:v>Paname City Rappin'</x:v>
      </x:c>
      <x:c r="F55" s="37" t="str">
        <x:v>original album version</x:v>
      </x:c>
      <x:c r="G55" s="37" t="str">
        <x:v>France</x:v>
      </x:c>
      <x:c r="H55" s="37" t="str">
        <x:v>French-rap; DJ; global</x:v>
      </x:c>
      <x:c r="I55" s="37" t="str">
        <x:v>Early French recorded rap and DJ culture</x:v>
      </x:c>
      <x:c r="J55" s="37" t="str">
        <x:v>provisional</x:v>
      </x:c>
      <x:c r="K55" s="37" t="str">
        <x:v>metadata_unverified</x:v>
      </x:c>
      <x:c r="L55" s="37" t="str">
        <x:v>soundcloud_unresolved</x:v>
      </x:c>
      <x:c r="M55" s="37" t="str"/>
      <x:c r="N55" s="37" t="str">
        <x:v>Institutionally documented pioneer; exact track/mix verify</x:v>
      </x:c>
      <x:c r="O55" s="37" t="str">
        <x:v>transnational_or_non_us</x:v>
      </x:c>
      <x:c r="P55" s="37" t="str">
        <x:v>non_mc_role_or_live</x:v>
      </x:c>
      <x:c r="Q55" s="37" t="n">
        <x:v>0</x:v>
      </x:c>
      <x:c r="R55" s="37" t="n">
        <x:v>0</x:v>
      </x:c>
      <x:c r="S55" s="37" t="n">
        <x:v>1</x:v>
      </x:c>
    </x:row>
    <x:row r="56">
      <x:c r="A56" s="36" t="n">
        <x:v>55</x:v>
      </x:c>
      <x:c r="B56" s="36" t="str">
        <x:v>HH04</x:v>
      </x:c>
      <x:c r="C56" s="36" t="n">
        <x:v>1987</x:v>
      </x:c>
      <x:c r="D56" s="37" t="str">
        <x:v>Lionel D</x:v>
      </x:c>
      <x:c r="E56" s="37" t="str">
        <x:v>Y'a pas de problème</x:v>
      </x:c>
      <x:c r="F56" s="37" t="str">
        <x:v>original version</x:v>
      </x:c>
      <x:c r="G56" s="37" t="str">
        <x:v>France</x:v>
      </x:c>
      <x:c r="H56" s="37" t="str">
        <x:v>French-rap; radio; live-MC</x:v>
      </x:c>
      <x:c r="I56" s="37" t="str">
        <x:v>French radio and MC infrastructure</x:v>
      </x:c>
      <x:c r="J56" s="37" t="str">
        <x:v>provisional</x:v>
      </x:c>
      <x:c r="K56" s="37" t="str">
        <x:v>metadata_unverified</x:v>
      </x:c>
      <x:c r="L56" s="37" t="str">
        <x:v>soundcloud_unresolved</x:v>
      </x:c>
      <x:c r="M56" s="37" t="str"/>
      <x:c r="N56" s="37" t="str">
        <x:v>Metadata verification required</x:v>
      </x:c>
      <x:c r="O56" s="37" t="str">
        <x:v>transnational_or_non_us</x:v>
      </x:c>
      <x:c r="P56" s="37" t="str">
        <x:v>non_mc_role_or_live</x:v>
      </x:c>
      <x:c r="Q56" s="37" t="n">
        <x:v>0</x:v>
      </x:c>
      <x:c r="R56" s="37" t="n">
        <x:v>0</x:v>
      </x:c>
      <x:c r="S56" s="37" t="n">
        <x:v>1</x:v>
      </x:c>
    </x:row>
    <x:row r="57">
      <x:c r="A57" s="36" t="n">
        <x:v>56</x:v>
      </x:c>
      <x:c r="B57" s="36" t="str">
        <x:v>HH04</x:v>
      </x:c>
      <x:c r="C57" s="36" t="n">
        <x:v>1988</x:v>
      </x:c>
      <x:c r="D57" s="37" t="str">
        <x:v>Hijack</x:v>
      </x:c>
      <x:c r="E57" s="37" t="str">
        <x:v>Style Wars</x:v>
      </x:c>
      <x:c r="F57" s="37" t="str">
        <x:v>original 12-inch version</x:v>
      </x:c>
      <x:c r="G57" s="37" t="str">
        <x:v>United Kingdom</x:v>
      </x:c>
      <x:c r="H57" s="37" t="str">
        <x:v>UK-hardcore-rap; battle</x:v>
      </x:c>
      <x:c r="I57" s="37" t="str">
        <x:v>British hard-edged rap before later UK genre branches</x:v>
      </x:c>
      <x:c r="J57" s="37" t="str">
        <x:v>provisional</x:v>
      </x:c>
      <x:c r="K57" s="37" t="str">
        <x:v>metadata_unverified</x:v>
      </x:c>
      <x:c r="L57" s="37" t="str">
        <x:v>soundcloud_unresolved</x:v>
      </x:c>
      <x:c r="M57" s="37" t="str"/>
      <x:c r="N57" s="37" t="str">
        <x:v>Verify 1988 Music of Life issue</x:v>
      </x:c>
      <x:c r="O57" s="37" t="str">
        <x:v>transnational_or_non_us</x:v>
      </x:c>
      <x:c r="P57" s="37" t="str"/>
      <x:c r="Q57" s="37" t="n">
        <x:v>0</x:v>
      </x:c>
      <x:c r="R57" s="37" t="n">
        <x:v>0</x:v>
      </x:c>
      <x:c r="S57" s="37" t="n">
        <x:v>0</x:v>
      </x:c>
    </x:row>
    <x:row r="58">
      <x:c r="A58" s="36" t="n">
        <x:v>57</x:v>
      </x:c>
      <x:c r="B58" s="36" t="str">
        <x:v>HH05</x:v>
      </x:c>
      <x:c r="C58" s="36" t="n">
        <x:v>1989</x:v>
      </x:c>
      <x:c r="D58" s="37" t="str">
        <x:v>Public Enemy</x:v>
      </x:c>
      <x:c r="E58" s="37" t="str">
        <x:v>Fight the Power</x:v>
      </x:c>
      <x:c r="F58" s="37" t="str">
        <x:v>original Do the Right Thing soundtrack version</x:v>
      </x:c>
      <x:c r="G58" s="37" t="str">
        <x:v>New York</x:v>
      </x:c>
      <x:c r="H58" s="37" t="str">
        <x:v>political; dense-production; soundtrack</x:v>
      </x:c>
      <x:c r="I58" s="37" t="str">
        <x:v>Collective political address and cinematic public sphere</x:v>
      </x:c>
      <x:c r="J58" s="37" t="str">
        <x:v>provisional</x:v>
      </x:c>
      <x:c r="K58" s="37" t="str">
        <x:v>metadata_unverified</x:v>
      </x:c>
      <x:c r="L58" s="37" t="str">
        <x:v>soundcloud_unresolved</x:v>
      </x:c>
      <x:c r="M58" s="37" t="str"/>
      <x:c r="N58" s="37" t="str">
        <x:v>Tom-likely recognition; distinguish album remix</x:v>
      </x:c>
      <x:c r="O58" s="37" t="str">
        <x:v>us</x:v>
      </x:c>
      <x:c r="P58" s="37" t="str"/>
      <x:c r="Q58" s="37" t="n">
        <x:v>0</x:v>
      </x:c>
      <x:c r="R58" s="37" t="n">
        <x:v>0</x:v>
      </x:c>
      <x:c r="S58" s="37" t="n">
        <x:v>0</x:v>
      </x:c>
    </x:row>
    <x:row r="59">
      <x:c r="A59" s="36" t="n">
        <x:v>58</x:v>
      </x:c>
      <x:c r="B59" s="36" t="str">
        <x:v>HH05</x:v>
      </x:c>
      <x:c r="C59" s="36" t="n">
        <x:v>1989</x:v>
      </x:c>
      <x:c r="D59" s="37" t="str">
        <x:v>Boogie Down Productions</x:v>
      </x:c>
      <x:c r="E59" s="37" t="str">
        <x:v>You Must Learn</x:v>
      </x:c>
      <x:c r="F59" s="37" t="str">
        <x:v>original Ghetto Music album version</x:v>
      </x:c>
      <x:c r="G59" s="37" t="str">
        <x:v>New York</x:v>
      </x:c>
      <x:c r="H59" s="37" t="str">
        <x:v>pedagogy; history; political</x:v>
      </x:c>
      <x:c r="I59" s="37" t="str">
        <x:v>Historical pedagogy inside rap</x:v>
      </x:c>
      <x:c r="J59" s="37" t="str">
        <x:v>provisional</x:v>
      </x:c>
      <x:c r="K59" s="37" t="str">
        <x:v>metadata_unverified</x:v>
      </x:c>
      <x:c r="L59" s="37" t="str">
        <x:v>soundcloud_unresolved</x:v>
      </x:c>
      <x:c r="M59" s="37" t="str"/>
      <x:c r="N59" s="37" t="str">
        <x:v>Recognition prompt</x:v>
      </x:c>
      <x:c r="O59" s="37" t="str">
        <x:v>us</x:v>
      </x:c>
      <x:c r="P59" s="37" t="str"/>
      <x:c r="Q59" s="37" t="n">
        <x:v>0</x:v>
      </x:c>
      <x:c r="R59" s="37" t="n">
        <x:v>0</x:v>
      </x:c>
      <x:c r="S59" s="37" t="n">
        <x:v>0</x:v>
      </x:c>
    </x:row>
    <x:row r="60">
      <x:c r="A60" s="36" t="n">
        <x:v>59</x:v>
      </x:c>
      <x:c r="B60" s="36" t="str">
        <x:v>HH05</x:v>
      </x:c>
      <x:c r="C60" s="36" t="n">
        <x:v>1989</x:v>
      </x:c>
      <x:c r="D60" s="37" t="str">
        <x:v>Queen Latifah featuring Monie Love</x:v>
      </x:c>
      <x:c r="E60" s="37" t="str">
        <x:v>Ladies First</x:v>
      </x:c>
      <x:c r="F60" s="37" t="str">
        <x:v>original album version</x:v>
      </x:c>
      <x:c r="G60" s="37" t="str">
        <x:v>New Jersey / United Kingdom</x:v>
      </x:c>
      <x:c r="H60" s="37" t="str">
        <x:v>women; Black-feminist; transatlantic</x:v>
      </x:c>
      <x:c r="I60" s="37" t="str">
        <x:v>Black feminist authority and transatlantic collaboration</x:v>
      </x:c>
      <x:c r="J60" s="37" t="str">
        <x:v>provisional</x:v>
      </x:c>
      <x:c r="K60" s="37" t="str">
        <x:v>metadata_unverified</x:v>
      </x:c>
      <x:c r="L60" s="37" t="str">
        <x:v>soundcloud_unresolved</x:v>
      </x:c>
      <x:c r="M60" s="37" t="str"/>
      <x:c r="N60" s="37" t="str">
        <x:v>Recognition prompt</x:v>
      </x:c>
      <x:c r="O60" s="37" t="str">
        <x:v>transnational_or_non_us</x:v>
      </x:c>
      <x:c r="P60" s="37" t="str">
        <x:v>women</x:v>
      </x:c>
      <x:c r="Q60" s="37" t="n">
        <x:v>1</x:v>
      </x:c>
      <x:c r="R60" s="37" t="n">
        <x:v>0</x:v>
      </x:c>
      <x:c r="S60" s="37" t="n">
        <x:v>0</x:v>
      </x:c>
    </x:row>
    <x:row r="61">
      <x:c r="A61" s="36" t="n">
        <x:v>60</x:v>
      </x:c>
      <x:c r="B61" s="36" t="str">
        <x:v>HH05</x:v>
      </x:c>
      <x:c r="C61" s="36" t="n">
        <x:v>1989</x:v>
      </x:c>
      <x:c r="D61" s="37" t="str">
        <x:v>De La Soul</x:v>
      </x:c>
      <x:c r="E61" s="37" t="str">
        <x:v>Me Myself and I</x:v>
      </x:c>
      <x:c r="F61" s="37" t="str">
        <x:v>original album version</x:v>
      </x:c>
      <x:c r="G61" s="37" t="str">
        <x:v>Long Island / New York</x:v>
      </x:c>
      <x:c r="H61" s="37" t="str">
        <x:v>Native-Tongues; sampling; alternative</x:v>
      </x:c>
      <x:c r="I61" s="37" t="str">
        <x:v>Playful resistance to imposed image</x:v>
      </x:c>
      <x:c r="J61" s="37" t="str">
        <x:v>provisional</x:v>
      </x:c>
      <x:c r="K61" s="37" t="str">
        <x:v>metadata_unverified</x:v>
      </x:c>
      <x:c r="L61" s="37" t="str">
        <x:v>soundcloud_unresolved</x:v>
      </x:c>
      <x:c r="M61" s="37" t="str"/>
      <x:c r="N61" s="37" t="str">
        <x:v>Canonical and potentially cliched</x:v>
      </x:c>
      <x:c r="O61" s="37" t="str">
        <x:v>us</x:v>
      </x:c>
      <x:c r="P61" s="37" t="str"/>
      <x:c r="Q61" s="37" t="n">
        <x:v>0</x:v>
      </x:c>
      <x:c r="R61" s="37" t="n">
        <x:v>0</x:v>
      </x:c>
      <x:c r="S61" s="37" t="n">
        <x:v>0</x:v>
      </x:c>
    </x:row>
    <x:row r="62">
      <x:c r="A62" s="36" t="n">
        <x:v>61</x:v>
      </x:c>
      <x:c r="B62" s="36" t="str">
        <x:v>HH05</x:v>
      </x:c>
      <x:c r="C62" s="36" t="n">
        <x:v>1988</x:v>
      </x:c>
      <x:c r="D62" s="37" t="str">
        <x:v>Jungle Brothers</x:v>
      </x:c>
      <x:c r="E62" s="37" t="str">
        <x:v>Straight Out the Jungle</x:v>
      </x:c>
      <x:c r="F62" s="37" t="str">
        <x:v>original album version</x:v>
      </x:c>
      <x:c r="G62" s="37" t="str">
        <x:v>New York</x:v>
      </x:c>
      <x:c r="H62" s="37" t="str">
        <x:v>Native-Tongues; Afrocentric; house-exchange</x:v>
      </x:c>
      <x:c r="I62" s="37" t="str">
        <x:v>Plural Black musical affiliations and scene formation</x:v>
      </x:c>
      <x:c r="J62" s="37" t="str">
        <x:v>provisional</x:v>
      </x:c>
      <x:c r="K62" s="37" t="str">
        <x:v>metadata_unverified</x:v>
      </x:c>
      <x:c r="L62" s="37" t="str">
        <x:v>soundcloud_unresolved</x:v>
      </x:c>
      <x:c r="M62" s="37" t="str"/>
      <x:c r="N62" s="37" t="str">
        <x:v>Verify original mix</x:v>
      </x:c>
      <x:c r="O62" s="37" t="str">
        <x:v>us</x:v>
      </x:c>
      <x:c r="P62" s="37" t="str"/>
      <x:c r="Q62" s="37" t="n">
        <x:v>0</x:v>
      </x:c>
      <x:c r="R62" s="37" t="n">
        <x:v>0</x:v>
      </x:c>
      <x:c r="S62" s="37" t="n">
        <x:v>0</x:v>
      </x:c>
    </x:row>
    <x:row r="63">
      <x:c r="A63" s="36" t="n">
        <x:v>62</x:v>
      </x:c>
      <x:c r="B63" s="36" t="str">
        <x:v>HH05</x:v>
      </x:c>
      <x:c r="C63" s="36" t="n">
        <x:v>1990</x:v>
      </x:c>
      <x:c r="D63" s="37" t="str">
        <x:v>A Tribe Called Quest</x:v>
      </x:c>
      <x:c r="E63" s="37" t="str">
        <x:v>Can I Kick It?</x:v>
      </x:c>
      <x:c r="F63" s="37" t="str">
        <x:v>original album version</x:v>
      </x:c>
      <x:c r="G63" s="37" t="str">
        <x:v>Queens / New York</x:v>
      </x:c>
      <x:c r="H63" s="37" t="str">
        <x:v>jazz-rap; Native-Tongues; call-response</x:v>
      </x:c>
      <x:c r="I63" s="37" t="str">
        <x:v>Conversational crew feel and jazz-rock sample repurposing</x:v>
      </x:c>
      <x:c r="J63" s="37" t="str">
        <x:v>provisional</x:v>
      </x:c>
      <x:c r="K63" s="37" t="str">
        <x:v>metadata_unverified</x:v>
      </x:c>
      <x:c r="L63" s="37" t="str">
        <x:v>soundcloud_unresolved</x:v>
      </x:c>
      <x:c r="M63" s="37" t="str"/>
      <x:c r="N63" s="37" t="str">
        <x:v>Canonical</x:v>
      </x:c>
      <x:c r="O63" s="37" t="str">
        <x:v>us</x:v>
      </x:c>
      <x:c r="P63" s="37" t="str"/>
      <x:c r="Q63" s="37" t="n">
        <x:v>0</x:v>
      </x:c>
      <x:c r="R63" s="37" t="n">
        <x:v>0</x:v>
      </x:c>
      <x:c r="S63" s="37" t="n">
        <x:v>0</x:v>
      </x:c>
    </x:row>
    <x:row r="64">
      <x:c r="A64" s="36" t="n">
        <x:v>63</x:v>
      </x:c>
      <x:c r="B64" s="36" t="str">
        <x:v>HH05</x:v>
      </x:c>
      <x:c r="C64" s="36" t="n">
        <x:v>1988</x:v>
      </x:c>
      <x:c r="D64" s="37" t="str">
        <x:v>Eric B. &amp; Rakim</x:v>
      </x:c>
      <x:c r="E64" s="37" t="str">
        <x:v>Follow the Leader</x:v>
      </x:c>
      <x:c r="F64" s="37" t="str">
        <x:v>original album version</x:v>
      </x:c>
      <x:c r="G64" s="37" t="str">
        <x:v>New York</x:v>
      </x:c>
      <x:c r="H64" s="37" t="str">
        <x:v>flow; lyrical-formalism</x:v>
      </x:c>
      <x:c r="I64" s="37" t="str">
        <x:v>Extended flow control over ominous production</x:v>
      </x:c>
      <x:c r="J64" s="37" t="str">
        <x:v>provisional</x:v>
      </x:c>
      <x:c r="K64" s="37" t="str">
        <x:v>metadata_unverified</x:v>
      </x:c>
      <x:c r="L64" s="37" t="str">
        <x:v>soundcloud_unresolved</x:v>
      </x:c>
      <x:c r="M64" s="37" t="str"/>
      <x:c r="N64" s="37" t="str">
        <x:v>Canonical</x:v>
      </x:c>
      <x:c r="O64" s="37" t="str">
        <x:v>us</x:v>
      </x:c>
      <x:c r="P64" s="37" t="str"/>
      <x:c r="Q64" s="37" t="n">
        <x:v>0</x:v>
      </x:c>
      <x:c r="R64" s="37" t="n">
        <x:v>0</x:v>
      </x:c>
      <x:c r="S64" s="37" t="n">
        <x:v>0</x:v>
      </x:c>
    </x:row>
    <x:row r="65">
      <x:c r="A65" s="36" t="n">
        <x:v>64</x:v>
      </x:c>
      <x:c r="B65" s="36" t="str">
        <x:v>HH05</x:v>
      </x:c>
      <x:c r="C65" s="36" t="n">
        <x:v>1988</x:v>
      </x:c>
      <x:c r="D65" s="37" t="str">
        <x:v>Big Daddy Kane</x:v>
      </x:c>
      <x:c r="E65" s="37" t="str">
        <x:v>Ain't No Half-Steppin'</x:v>
      </x:c>
      <x:c r="F65" s="37" t="str">
        <x:v>original album version</x:v>
      </x:c>
      <x:c r="G65" s="37" t="str">
        <x:v>Brooklyn / New York</x:v>
      </x:c>
      <x:c r="H65" s="37" t="str">
        <x:v>battle; virtuosity</x:v>
      </x:c>
      <x:c r="I65" s="37" t="str">
        <x:v>Polished rhythmic virtuosity and command</x:v>
      </x:c>
      <x:c r="J65" s="37" t="str">
        <x:v>provisional</x:v>
      </x:c>
      <x:c r="K65" s="37" t="str">
        <x:v>metadata_unverified</x:v>
      </x:c>
      <x:c r="L65" s="37" t="str">
        <x:v>soundcloud_unresolved</x:v>
      </x:c>
      <x:c r="M65" s="37" t="str"/>
      <x:c r="N65" s="37" t="str">
        <x:v>Canonical</x:v>
      </x:c>
      <x:c r="O65" s="37" t="str">
        <x:v>us</x:v>
      </x:c>
      <x:c r="P65" s="37" t="str"/>
      <x:c r="Q65" s="37" t="n">
        <x:v>0</x:v>
      </x:c>
      <x:c r="R65" s="37" t="n">
        <x:v>0</x:v>
      </x:c>
      <x:c r="S65" s="37" t="n">
        <x:v>0</x:v>
      </x:c>
    </x:row>
    <x:row r="66">
      <x:c r="A66" s="36" t="n">
        <x:v>65</x:v>
      </x:c>
      <x:c r="B66" s="36" t="str">
        <x:v>HH05</x:v>
      </x:c>
      <x:c r="C66" s="36" t="n">
        <x:v>1990</x:v>
      </x:c>
      <x:c r="D66" s="37" t="str">
        <x:v>Kool G Rap &amp; DJ Polo</x:v>
      </x:c>
      <x:c r="E66" s="37" t="str">
        <x:v>Streets of New York</x:v>
      </x:c>
      <x:c r="F66" s="37" t="str">
        <x:v>original album version</x:v>
      </x:c>
      <x:c r="G66" s="37" t="str">
        <x:v>Queens / New York</x:v>
      </x:c>
      <x:c r="H66" s="37" t="str">
        <x:v>street-reportage; narrative</x:v>
      </x:c>
      <x:c r="I66" s="37" t="str">
        <x:v>Dense street reportage before mafioso formalization</x:v>
      </x:c>
      <x:c r="J66" s="37" t="str">
        <x:v>provisional</x:v>
      </x:c>
      <x:c r="K66" s="37" t="str">
        <x:v>metadata_unverified</x:v>
      </x:c>
      <x:c r="L66" s="37" t="str">
        <x:v>soundcloud_unresolved</x:v>
      </x:c>
      <x:c r="M66" s="37" t="str"/>
      <x:c r="N66" s="37" t="str">
        <x:v>Verify album version</x:v>
      </x:c>
      <x:c r="O66" s="37" t="str">
        <x:v>us</x:v>
      </x:c>
      <x:c r="P66" s="37" t="str"/>
      <x:c r="Q66" s="37" t="n">
        <x:v>0</x:v>
      </x:c>
      <x:c r="R66" s="37" t="n">
        <x:v>0</x:v>
      </x:c>
      <x:c r="S66" s="37" t="n">
        <x:v>0</x:v>
      </x:c>
    </x:row>
    <x:row r="67">
      <x:c r="A67" s="36" t="n">
        <x:v>66</x:v>
      </x:c>
      <x:c r="B67" s="36" t="str">
        <x:v>HH05</x:v>
      </x:c>
      <x:c r="C67" s="36" t="n">
        <x:v>1988</x:v>
      </x:c>
      <x:c r="D67" s="37" t="str">
        <x:v>N.W.A</x:v>
      </x:c>
      <x:c r="E67" s="37" t="str">
        <x:v>Straight Outta Compton</x:v>
      </x:c>
      <x:c r="F67" s="37" t="str">
        <x:v>original album version</x:v>
      </x:c>
      <x:c r="G67" s="37" t="str">
        <x:v>Compton / California</x:v>
      </x:c>
      <x:c r="H67" s="37" t="str">
        <x:v>gangsta; regional-system; political</x:v>
      </x:c>
      <x:c r="I67" s="37" t="str">
        <x:v>Regional force social report and market shock</x:v>
      </x:c>
      <x:c r="J67" s="37" t="str">
        <x:v>provisional</x:v>
      </x:c>
      <x:c r="K67" s="37" t="str">
        <x:v>metadata_unverified</x:v>
      </x:c>
      <x:c r="L67" s="37" t="str">
        <x:v>soundcloud_unresolved</x:v>
      </x:c>
      <x:c r="M67" s="37" t="str"/>
      <x:c r="N67" s="37" t="str">
        <x:v>Contextualize misogyny and media construction</x:v>
      </x:c>
      <x:c r="O67" s="37" t="str">
        <x:v>us</x:v>
      </x:c>
      <x:c r="P67" s="37" t="str"/>
      <x:c r="Q67" s="37" t="n">
        <x:v>0</x:v>
      </x:c>
      <x:c r="R67" s="37" t="n">
        <x:v>0</x:v>
      </x:c>
      <x:c r="S67" s="37" t="n">
        <x:v>0</x:v>
      </x:c>
    </x:row>
    <x:row r="68">
      <x:c r="A68" s="36" t="n">
        <x:v>67</x:v>
      </x:c>
      <x:c r="B68" s="36" t="str">
        <x:v>HH05</x:v>
      </x:c>
      <x:c r="C68" s="36" t="n">
        <x:v>1988</x:v>
      </x:c>
      <x:c r="D68" s="37" t="str">
        <x:v>Ice-T</x:v>
      </x:c>
      <x:c r="E68" s="37" t="str">
        <x:v>Colors</x:v>
      </x:c>
      <x:c r="F68" s="37" t="str">
        <x:v>original soundtrack version</x:v>
      </x:c>
      <x:c r="G68" s="37" t="str">
        <x:v>Los Angeles</x:v>
      </x:c>
      <x:c r="H68" s="37" t="str">
        <x:v>gangsta; narrative; soundtrack</x:v>
      </x:c>
      <x:c r="I68" s="37" t="str">
        <x:v>Gang identity narrative and film circulation</x:v>
      </x:c>
      <x:c r="J68" s="37" t="str">
        <x:v>provisional</x:v>
      </x:c>
      <x:c r="K68" s="37" t="str">
        <x:v>metadata_unverified</x:v>
      </x:c>
      <x:c r="L68" s="37" t="str">
        <x:v>soundcloud_unresolved</x:v>
      </x:c>
      <x:c r="M68" s="37" t="str"/>
      <x:c r="N68" s="37" t="str">
        <x:v>Exact soundtrack/single version verify</x:v>
      </x:c>
      <x:c r="O68" s="37" t="str">
        <x:v>us</x:v>
      </x:c>
      <x:c r="P68" s="37" t="str"/>
      <x:c r="Q68" s="37" t="n">
        <x:v>0</x:v>
      </x:c>
      <x:c r="R68" s="37" t="n">
        <x:v>0</x:v>
      </x:c>
      <x:c r="S68" s="37" t="n">
        <x:v>0</x:v>
      </x:c>
    </x:row>
    <x:row r="69">
      <x:c r="A69" s="36" t="n">
        <x:v>68</x:v>
      </x:c>
      <x:c r="B69" s="36" t="str">
        <x:v>HH05</x:v>
      </x:c>
      <x:c r="C69" s="36" t="n">
        <x:v>1991</x:v>
      </x:c>
      <x:c r="D69" s="37" t="str">
        <x:v>Geto Boys</x:v>
      </x:c>
      <x:c r="E69" s="37" t="str">
        <x:v>Mind Playing Tricks on Me</x:v>
      </x:c>
      <x:c r="F69" s="37" t="str">
        <x:v>original album version</x:v>
      </x:c>
      <x:c r="G69" s="37" t="str">
        <x:v>Houston</x:v>
      </x:c>
      <x:c r="H69" s="37" t="str">
        <x:v>Southern; psychological; narrative</x:v>
      </x:c>
      <x:c r="I69" s="37" t="str">
        <x:v>Paranoia vulnerability and Southern national breakthrough</x:v>
      </x:c>
      <x:c r="J69" s="37" t="str">
        <x:v>provisional</x:v>
      </x:c>
      <x:c r="K69" s="37" t="str">
        <x:v>metadata_unverified</x:v>
      </x:c>
      <x:c r="L69" s="37" t="str">
        <x:v>soundcloud_unresolved</x:v>
      </x:c>
      <x:c r="M69" s="37" t="str"/>
      <x:c r="N69" s="37" t="str">
        <x:v>Canonical</x:v>
      </x:c>
      <x:c r="O69" s="37" t="str">
        <x:v>us</x:v>
      </x:c>
      <x:c r="P69" s="37" t="str"/>
      <x:c r="Q69" s="37" t="n">
        <x:v>0</x:v>
      </x:c>
      <x:c r="R69" s="37" t="n">
        <x:v>0</x:v>
      </x:c>
      <x:c r="S69" s="37" t="n">
        <x:v>0</x:v>
      </x:c>
    </x:row>
    <x:row r="70">
      <x:c r="A70" s="36" t="n">
        <x:v>69</x:v>
      </x:c>
      <x:c r="B70" s="36" t="str">
        <x:v>HH05</x:v>
      </x:c>
      <x:c r="C70" s="36" t="n">
        <x:v>1991</x:v>
      </x:c>
      <x:c r="D70" s="37" t="str">
        <x:v>DJ Quik</x:v>
      </x:c>
      <x:c r="E70" s="37" t="str">
        <x:v>Tonite</x:v>
      </x:c>
      <x:c r="F70" s="37" t="str">
        <x:v>original album version</x:v>
      </x:c>
      <x:c r="G70" s="37" t="str">
        <x:v>Compton / California</x:v>
      </x:c>
      <x:c r="H70" s="37" t="str">
        <x:v>West-Coast; funk; producer-MC</x:v>
      </x:c>
      <x:c r="I70" s="37" t="str">
        <x:v>Producer-MC swing and everyday narrative</x:v>
      </x:c>
      <x:c r="J70" s="37" t="str">
        <x:v>provisional</x:v>
      </x:c>
      <x:c r="K70" s="37" t="str">
        <x:v>metadata_unverified</x:v>
      </x:c>
      <x:c r="L70" s="37" t="str">
        <x:v>soundcloud_unresolved</x:v>
      </x:c>
      <x:c r="M70" s="37" t="str"/>
      <x:c r="N70" s="37" t="str">
        <x:v>Verify clean/sample-altered variants</x:v>
      </x:c>
      <x:c r="O70" s="37" t="str">
        <x:v>us</x:v>
      </x:c>
      <x:c r="P70" s="37" t="str">
        <x:v>non_mc_role_or_live</x:v>
      </x:c>
      <x:c r="Q70" s="37" t="n">
        <x:v>0</x:v>
      </x:c>
      <x:c r="R70" s="37" t="n">
        <x:v>0</x:v>
      </x:c>
      <x:c r="S70" s="37" t="n">
        <x:v>1</x:v>
      </x:c>
    </x:row>
    <x:row r="71">
      <x:c r="A71" s="36" t="n">
        <x:v>70</x:v>
      </x:c>
      <x:c r="B71" s="36" t="str">
        <x:v>HH05</x:v>
      </x:c>
      <x:c r="C71" s="36" t="n">
        <x:v>1990</x:v>
      </x:c>
      <x:c r="D71" s="37" t="str">
        <x:v>Too $hort</x:v>
      </x:c>
      <x:c r="E71" s="37" t="str">
        <x:v>The Ghetto</x:v>
      </x:c>
      <x:c r="F71" s="37" t="str">
        <x:v>original album version</x:v>
      </x:c>
      <x:c r="G71" s="37" t="str">
        <x:v>Oakland / California</x:v>
      </x:c>
      <x:c r="H71" s="37" t="str">
        <x:v>Bay-Area; social-reportage; funk</x:v>
      </x:c>
      <x:c r="I71" s="37" t="str">
        <x:v>Bay Area social report beyond party persona</x:v>
      </x:c>
      <x:c r="J71" s="37" t="str">
        <x:v>provisional</x:v>
      </x:c>
      <x:c r="K71" s="37" t="str">
        <x:v>metadata_unverified</x:v>
      </x:c>
      <x:c r="L71" s="37" t="str">
        <x:v>soundcloud_unresolved</x:v>
      </x:c>
      <x:c r="M71" s="37" t="str"/>
      <x:c r="N71" s="37" t="str">
        <x:v>Exact title typography</x:v>
      </x:c>
      <x:c r="O71" s="37" t="str">
        <x:v>us</x:v>
      </x:c>
      <x:c r="P71" s="37" t="str"/>
      <x:c r="Q71" s="37" t="n">
        <x:v>0</x:v>
      </x:c>
      <x:c r="R71" s="37" t="n">
        <x:v>0</x:v>
      </x:c>
      <x:c r="S71" s="37" t="n">
        <x:v>0</x:v>
      </x:c>
    </x:row>
    <x:row r="72">
      <x:c r="A72" s="36" t="n">
        <x:v>71</x:v>
      </x:c>
      <x:c r="B72" s="36" t="str">
        <x:v>HH05</x:v>
      </x:c>
      <x:c r="C72" s="36" t="n">
        <x:v>1991</x:v>
      </x:c>
      <x:c r="D72" s="37" t="str">
        <x:v>Organized Konfusion</x:v>
      </x:c>
      <x:c r="E72" s="37" t="str">
        <x:v>Fudge Pudge</x:v>
      </x:c>
      <x:c r="F72" s="37" t="str">
        <x:v>original album version</x:v>
      </x:c>
      <x:c r="G72" s="37" t="str">
        <x:v>Queens / New York</x:v>
      </x:c>
      <x:c r="H72" s="37" t="str">
        <x:v>lyrical; abstract; duo</x:v>
      </x:c>
      <x:c r="I72" s="37" t="str">
        <x:v>Dense multi-MC formalism and eccentric production</x:v>
      </x:c>
      <x:c r="J72" s="37" t="str">
        <x:v>provisional</x:v>
      </x:c>
      <x:c r="K72" s="37" t="str">
        <x:v>metadata_unverified</x:v>
      </x:c>
      <x:c r="L72" s="37" t="str">
        <x:v>soundcloud_unresolved</x:v>
      </x:c>
      <x:c r="M72" s="37" t="str"/>
      <x:c r="N72" s="37" t="str">
        <x:v>Deep-route choice</x:v>
      </x:c>
      <x:c r="O72" s="37" t="str">
        <x:v>us</x:v>
      </x:c>
      <x:c r="P72" s="37" t="str"/>
      <x:c r="Q72" s="37" t="n">
        <x:v>0</x:v>
      </x:c>
      <x:c r="R72" s="37" t="n">
        <x:v>0</x:v>
      </x:c>
      <x:c r="S72" s="37" t="n">
        <x:v>0</x:v>
      </x:c>
    </x:row>
    <x:row r="73">
      <x:c r="A73" s="36" t="n">
        <x:v>72</x:v>
      </x:c>
      <x:c r="B73" s="36" t="str">
        <x:v>HH05</x:v>
      </x:c>
      <x:c r="C73" s="36" t="n">
        <x:v>1991</x:v>
      </x:c>
      <x:c r="D73" s="37" t="str">
        <x:v>Main Source</x:v>
      </x:c>
      <x:c r="E73" s="37" t="str">
        <x:v>Live at the Barbeque</x:v>
      </x:c>
      <x:c r="F73" s="37" t="str">
        <x:v>original album version</x:v>
      </x:c>
      <x:c r="G73" s="37" t="str">
        <x:v>New York / Toronto</x:v>
      </x:c>
      <x:c r="H73" s="37" t="str">
        <x:v>posse-cut; producer-MC; debut</x:v>
      </x:c>
      <x:c r="I73" s="37" t="str">
        <x:v>Posse cut as scene introduction including Nas debut</x:v>
      </x:c>
      <x:c r="J73" s="37" t="str">
        <x:v>provisional</x:v>
      </x:c>
      <x:c r="K73" s="37" t="str">
        <x:v>metadata_unverified</x:v>
      </x:c>
      <x:c r="L73" s="37" t="str">
        <x:v>soundcloud_unresolved</x:v>
      </x:c>
      <x:c r="M73" s="37" t="str"/>
      <x:c r="N73" s="37" t="str">
        <x:v>Canadian-US production circuit</x:v>
      </x:c>
      <x:c r="O73" s="37" t="str">
        <x:v>us</x:v>
      </x:c>
      <x:c r="P73" s="37" t="str">
        <x:v>non_mc_role_or_live</x:v>
      </x:c>
      <x:c r="Q73" s="37" t="n">
        <x:v>0</x:v>
      </x:c>
      <x:c r="R73" s="37" t="n">
        <x:v>0</x:v>
      </x:c>
      <x:c r="S73" s="37" t="n">
        <x:v>1</x:v>
      </x:c>
    </x:row>
    <x:row r="74">
      <x:c r="A74" s="36" t="n">
        <x:v>73</x:v>
      </x:c>
      <x:c r="B74" s="36" t="str">
        <x:v>HH05</x:v>
      </x:c>
      <x:c r="C74" s="36" t="n">
        <x:v>1991</x:v>
      </x:c>
      <x:c r="D74" s="37" t="str">
        <x:v>Yo-Yo featuring Ice Cube</x:v>
      </x:c>
      <x:c r="E74" s="37" t="str">
        <x:v>You Can't Play with My Yo-Yo</x:v>
      </x:c>
      <x:c r="F74" s="37" t="str">
        <x:v>original Make Way for the Motherlode version</x:v>
      </x:c>
      <x:c r="G74" s="37" t="str">
        <x:v>Los Angeles</x:v>
      </x:c>
      <x:c r="H74" s="37" t="str">
        <x:v>women; West-Coast; Black-feminist</x:v>
      </x:c>
      <x:c r="I74" s="37" t="str">
        <x:v>Woman MC authority and gender argument inside the West Coast system</x:v>
      </x:c>
      <x:c r="J74" s="37" t="str">
        <x:v>provisional</x:v>
      </x:c>
      <x:c r="K74" s="37" t="str">
        <x:v>metadata_unverified</x:v>
      </x:c>
      <x:c r="L74" s="37" t="str">
        <x:v>soundcloud_unresolved</x:v>
      </x:c>
      <x:c r="M74" s="37" t="str"/>
      <x:c r="N74" s="37" t="str">
        <x:v>Feature and album version verify</x:v>
      </x:c>
      <x:c r="O74" s="37" t="str">
        <x:v>us</x:v>
      </x:c>
      <x:c r="P74" s="37" t="str">
        <x:v>women</x:v>
      </x:c>
      <x:c r="Q74" s="37" t="n">
        <x:v>1</x:v>
      </x:c>
      <x:c r="R74" s="37" t="n">
        <x:v>0</x:v>
      </x:c>
      <x:c r="S74" s="37" t="n">
        <x:v>0</x:v>
      </x:c>
    </x:row>
    <x:row r="75">
      <x:c r="A75" s="36" t="n">
        <x:v>74</x:v>
      </x:c>
      <x:c r="B75" s="36" t="str">
        <x:v>HH05</x:v>
      </x:c>
      <x:c r="C75" s="36" t="n">
        <x:v>1992</x:v>
      </x:c>
      <x:c r="D75" s="37" t="str">
        <x:v>Arrested Development</x:v>
      </x:c>
      <x:c r="E75" s="37" t="str">
        <x:v>Tennessee</x:v>
      </x:c>
      <x:c r="F75" s="37" t="str">
        <x:v>original album version</x:v>
      </x:c>
      <x:c r="G75" s="37" t="str">
        <x:v>Atlanta</x:v>
      </x:c>
      <x:c r="H75" s="37" t="str">
        <x:v>Southern; spirituality; memory</x:v>
      </x:c>
      <x:c r="I75" s="37" t="str">
        <x:v>Southern spirituality memory and crossover</x:v>
      </x:c>
      <x:c r="J75" s="37" t="str">
        <x:v>provisional</x:v>
      </x:c>
      <x:c r="K75" s="37" t="str">
        <x:v>metadata_unverified</x:v>
      </x:c>
      <x:c r="L75" s="37" t="str">
        <x:v>soundcloud_unresolved</x:v>
      </x:c>
      <x:c r="M75" s="37" t="str"/>
      <x:c r="N75" s="37" t="str">
        <x:v>Confirmed Tom recognition anchor</x:v>
      </x:c>
      <x:c r="O75" s="37" t="str">
        <x:v>us</x:v>
      </x:c>
      <x:c r="P75" s="37" t="str"/>
      <x:c r="Q75" s="37" t="n">
        <x:v>0</x:v>
      </x:c>
      <x:c r="R75" s="37" t="n">
        <x:v>0</x:v>
      </x:c>
      <x:c r="S75" s="37" t="n">
        <x:v>0</x:v>
      </x:c>
    </x:row>
    <x:row r="76">
      <x:c r="A76" s="36" t="n">
        <x:v>75</x:v>
      </x:c>
      <x:c r="B76" s="36" t="str">
        <x:v>HH05</x:v>
      </x:c>
      <x:c r="C76" s="36" t="n">
        <x:v>1991</x:v>
      </x:c>
      <x:c r="D76" s="37" t="str">
        <x:v>Cypress Hill</x:v>
      </x:c>
      <x:c r="E76" s="37" t="str">
        <x:v>How I Could Just Kill a Man</x:v>
      </x:c>
      <x:c r="F76" s="37" t="str">
        <x:v>original Cypress Hill album version</x:v>
      </x:c>
      <x:c r="G76" s="37" t="str">
        <x:v>Los Angeles</x:v>
      </x:c>
      <x:c r="H76" s="37" t="str">
        <x:v>Latino; West-Coast; sample; street</x:v>
      </x:c>
      <x:c r="I76" s="37" t="str">
        <x:v>Latino Los Angeles authorship and a distinct sample-heavy West Coast language</x:v>
      </x:c>
      <x:c r="J76" s="37" t="str">
        <x:v>provisional</x:v>
      </x:c>
      <x:c r="K76" s="37" t="str">
        <x:v>metadata_unverified</x:v>
      </x:c>
      <x:c r="L76" s="37" t="str">
        <x:v>soundcloud_unresolved</x:v>
      </x:c>
      <x:c r="M76" s="37" t="str"/>
      <x:c r="N76" s="37" t="str">
        <x:v>Verify album versus single mix</x:v>
      </x:c>
      <x:c r="O76" s="37" t="str">
        <x:v>us</x:v>
      </x:c>
      <x:c r="P76" s="37" t="str"/>
      <x:c r="Q76" s="37" t="n">
        <x:v>0</x:v>
      </x:c>
      <x:c r="R76" s="37" t="n">
        <x:v>0</x:v>
      </x:c>
      <x:c r="S76" s="37" t="n">
        <x:v>0</x:v>
      </x:c>
    </x:row>
    <x:row r="77">
      <x:c r="A77" s="36" t="n">
        <x:v>76</x:v>
      </x:c>
      <x:c r="B77" s="36" t="str">
        <x:v>HH05</x:v>
      </x:c>
      <x:c r="C77" s="36" t="n">
        <x:v>1991</x:v>
      </x:c>
      <x:c r="D77" s="37" t="str">
        <x:v>IAM</x:v>
      </x:c>
      <x:c r="E77" s="37" t="str">
        <x:v>Red Black and Green</x:v>
      </x:c>
      <x:c r="F77" s="37" t="str">
        <x:v>original ...De la planète Mars album version</x:v>
      </x:c>
      <x:c r="G77" s="37" t="str">
        <x:v>Marseille / France</x:v>
      </x:c>
      <x:c r="H77" s="37" t="str">
        <x:v>French-rap; political; global</x:v>
      </x:c>
      <x:c r="I77" s="37" t="str">
        <x:v>Marseille identity and political color symbolism</x:v>
      </x:c>
      <x:c r="J77" s="37" t="str">
        <x:v>provisional</x:v>
      </x:c>
      <x:c r="K77" s="37" t="str">
        <x:v>metadata_unverified</x:v>
      </x:c>
      <x:c r="L77" s="37" t="str">
        <x:v>soundcloud_unresolved</x:v>
      </x:c>
      <x:c r="M77" s="37" t="str"/>
      <x:c r="N77" s="37" t="str">
        <x:v>Title/version verify</x:v>
      </x:c>
      <x:c r="O77" s="37" t="str">
        <x:v>transnational_or_non_us</x:v>
      </x:c>
      <x:c r="P77" s="37" t="str"/>
      <x:c r="Q77" s="37" t="n">
        <x:v>0</x:v>
      </x:c>
      <x:c r="R77" s="37" t="n">
        <x:v>0</x:v>
      </x:c>
      <x:c r="S77" s="37" t="n">
        <x:v>0</x:v>
      </x:c>
    </x:row>
    <x:row r="78">
      <x:c r="A78" s="36" t="n">
        <x:v>77</x:v>
      </x:c>
      <x:c r="B78" s="36" t="str">
        <x:v>HH05</x:v>
      </x:c>
      <x:c r="C78" s="36" t="n">
        <x:v>1990</x:v>
      </x:c>
      <x:c r="D78" s="37" t="str">
        <x:v>Vico C</x:v>
      </x:c>
      <x:c r="E78" s="37" t="str">
        <x:v>La Recta Final</x:v>
      </x:c>
      <x:c r="F78" s="37" t="str">
        <x:v>original Hispanic Soul version</x:v>
      </x:c>
      <x:c r="G78" s="37" t="str">
        <x:v>Puerto Rico</x:v>
      </x:c>
      <x:c r="H78" s="37" t="str">
        <x:v>Spanish-language; Puerto-Rican-rap; Caribbean</x:v>
      </x:c>
      <x:c r="I78" s="37" t="str">
        <x:v>Puerto Rican rap infrastructure and Spanish-language authority</x:v>
      </x:c>
      <x:c r="J78" s="37" t="str">
        <x:v>provisional</x:v>
      </x:c>
      <x:c r="K78" s="37" t="str">
        <x:v>metadata_unverified</x:v>
      </x:c>
      <x:c r="L78" s="37" t="str">
        <x:v>soundcloud_unresolved</x:v>
      </x:c>
      <x:c r="M78" s="37" t="str"/>
      <x:c r="N78" s="37" t="str">
        <x:v>Exact 1989/1990 release chronology and master verify</x:v>
      </x:c>
      <x:c r="O78" s="37" t="str">
        <x:v>us</x:v>
      </x:c>
      <x:c r="P78" s="37" t="str"/>
      <x:c r="Q78" s="37" t="n">
        <x:v>0</x:v>
      </x:c>
      <x:c r="R78" s="37" t="n">
        <x:v>0</x:v>
      </x:c>
      <x:c r="S78" s="37" t="n">
        <x:v>0</x:v>
      </x:c>
    </x:row>
    <x:row r="79">
      <x:c r="A79" s="36" t="n">
        <x:v>78</x:v>
      </x:c>
      <x:c r="B79" s="36" t="str">
        <x:v>HH05</x:v>
      </x:c>
      <x:c r="C79" s="36" t="n">
        <x:v>1990</x:v>
      </x:c>
      <x:c r="D79" s="37" t="str">
        <x:v>Prophets of Da City</x:v>
      </x:c>
      <x:c r="E79" s="37" t="str">
        <x:v>Our World</x:v>
      </x:c>
      <x:c r="F79" s="37" t="str">
        <x:v>original album version</x:v>
      </x:c>
      <x:c r="G79" s="37" t="str">
        <x:v>Cape Town / South Africa</x:v>
      </x:c>
      <x:c r="H79" s="37" t="str">
        <x:v>anti-apartheid; African-hip-hop; political</x:v>
      </x:c>
      <x:c r="I79" s="37" t="str">
        <x:v>Early South African localization and political address</x:v>
      </x:c>
      <x:c r="J79" s="37" t="str">
        <x:v>provisional</x:v>
      </x:c>
      <x:c r="K79" s="37" t="str">
        <x:v>metadata_unverified</x:v>
      </x:c>
      <x:c r="L79" s="37" t="str">
        <x:v>soundcloud_unresolved</x:v>
      </x:c>
      <x:c r="M79" s="37" t="str"/>
      <x:c r="N79" s="37" t="str">
        <x:v>Release metadata audit required</x:v>
      </x:c>
      <x:c r="O79" s="37" t="str">
        <x:v>transnational_or_non_us</x:v>
      </x:c>
      <x:c r="P79" s="37" t="str"/>
      <x:c r="Q79" s="37" t="n">
        <x:v>0</x:v>
      </x:c>
      <x:c r="R79" s="37" t="n">
        <x:v>0</x:v>
      </x:c>
      <x:c r="S79" s="37" t="n">
        <x:v>0</x:v>
      </x:c>
    </x:row>
    <x:row r="80">
      <x:c r="A80" s="36" t="n">
        <x:v>79</x:v>
      </x:c>
      <x:c r="B80" s="36" t="str">
        <x:v>HH05</x:v>
      </x:c>
      <x:c r="C80" s="36" t="n">
        <x:v>1988</x:v>
      </x:c>
      <x:c r="D80" s="37" t="str">
        <x:v>London Posse</x:v>
      </x:c>
      <x:c r="E80" s="37" t="str">
        <x:v>Money Mad</x:v>
      </x:c>
      <x:c r="F80" s="37" t="str">
        <x:v>original version</x:v>
      </x:c>
      <x:c r="G80" s="37" t="str">
        <x:v>London / United Kingdom</x:v>
      </x:c>
      <x:c r="H80" s="37" t="str">
        <x:v>UK-rap; Caribbean-British; accent</x:v>
      </x:c>
      <x:c r="I80" s="37" t="str">
        <x:v>British and Caribbean vocal identity against US imitation</x:v>
      </x:c>
      <x:c r="J80" s="37" t="str">
        <x:v>provisional</x:v>
      </x:c>
      <x:c r="K80" s="37" t="str">
        <x:v>metadata_unverified</x:v>
      </x:c>
      <x:c r="L80" s="37" t="str">
        <x:v>soundcloud_unresolved</x:v>
      </x:c>
      <x:c r="M80" s="37" t="str"/>
      <x:c r="N80" s="37" t="str">
        <x:v>Resolve 1988 single versus 1990 album form</x:v>
      </x:c>
      <x:c r="O80" s="37" t="str">
        <x:v>transnational_or_non_us</x:v>
      </x:c>
      <x:c r="P80" s="37" t="str"/>
      <x:c r="Q80" s="37" t="n">
        <x:v>0</x:v>
      </x:c>
      <x:c r="R80" s="37" t="n">
        <x:v>0</x:v>
      </x:c>
      <x:c r="S80" s="37" t="n">
        <x:v>0</x:v>
      </x:c>
    </x:row>
    <x:row r="81">
      <x:c r="A81" s="36" t="n">
        <x:v>80</x:v>
      </x:c>
      <x:c r="B81" s="36" t="str">
        <x:v>HH05</x:v>
      </x:c>
      <x:c r="C81" s="36" t="n">
        <x:v>1990</x:v>
      </x:c>
      <x:c r="D81" s="37" t="str">
        <x:v>Monie Love</x:v>
      </x:c>
      <x:c r="E81" s="37" t="str">
        <x:v>Monie in the Middle</x:v>
      </x:c>
      <x:c r="F81" s="37" t="str">
        <x:v>original album version</x:v>
      </x:c>
      <x:c r="G81" s="37" t="str">
        <x:v>London / New York</x:v>
      </x:c>
      <x:c r="H81" s="37" t="str">
        <x:v>women; UK-rap; Native-Tongues</x:v>
      </x:c>
      <x:c r="I81" s="37" t="str">
        <x:v>British woman MC inside a transatlantic scene</x:v>
      </x:c>
      <x:c r="J81" s="37" t="str">
        <x:v>provisional</x:v>
      </x:c>
      <x:c r="K81" s="37" t="str">
        <x:v>metadata_unverified</x:v>
      </x:c>
      <x:c r="L81" s="37" t="str">
        <x:v>soundcloud_unresolved</x:v>
      </x:c>
      <x:c r="M81" s="37" t="str"/>
      <x:c r="N81" s="37" t="str">
        <x:v>Verify UK/US issue differences</x:v>
      </x:c>
      <x:c r="O81" s="37" t="str">
        <x:v>transnational_or_non_us</x:v>
      </x:c>
      <x:c r="P81" s="37" t="str">
        <x:v>women</x:v>
      </x:c>
      <x:c r="Q81" s="37" t="n">
        <x:v>1</x:v>
      </x:c>
      <x:c r="R81" s="37" t="n">
        <x:v>0</x:v>
      </x:c>
      <x:c r="S81" s="37" t="n">
        <x:v>0</x:v>
      </x:c>
    </x:row>
    <x:row r="82">
      <x:c r="A82" s="36" t="n">
        <x:v>81</x:v>
      </x:c>
      <x:c r="B82" s="36" t="str">
        <x:v>HH06</x:v>
      </x:c>
      <x:c r="C82" s="36" t="n">
        <x:v>1992</x:v>
      </x:c>
      <x:c r="D82" s="37" t="str">
        <x:v>Dr. Dre featuring Snoop Doggy Dogg</x:v>
      </x:c>
      <x:c r="E82" s="37" t="str">
        <x:v>Nuthin' but a 'G' Thang</x:v>
      </x:c>
      <x:c r="F82" s="37" t="str">
        <x:v>original The Chronic album version</x:v>
      </x:c>
      <x:c r="G82" s="37" t="str">
        <x:v>Los Angeles / Long Beach</x:v>
      </x:c>
      <x:c r="H82" s="37" t="str">
        <x:v>G-funk; producer-auteur; flow</x:v>
      </x:c>
      <x:c r="I82" s="37" t="str">
        <x:v>G-funk synthesis and producer-centered album world</x:v>
      </x:c>
      <x:c r="J82" s="37" t="str">
        <x:v>provisional</x:v>
      </x:c>
      <x:c r="K82" s="37" t="str">
        <x:v>metadata_unverified</x:v>
      </x:c>
      <x:c r="L82" s="37" t="str">
        <x:v>soundcloud_unresolved</x:v>
      </x:c>
      <x:c r="M82" s="37" t="str"/>
      <x:c r="N82" s="37" t="str">
        <x:v>Canonical</x:v>
      </x:c>
      <x:c r="O82" s="37" t="str">
        <x:v>us</x:v>
      </x:c>
      <x:c r="P82" s="37" t="str">
        <x:v>non_mc_role_or_live</x:v>
      </x:c>
      <x:c r="Q82" s="37" t="n">
        <x:v>0</x:v>
      </x:c>
      <x:c r="R82" s="37" t="n">
        <x:v>0</x:v>
      </x:c>
      <x:c r="S82" s="37" t="n">
        <x:v>1</x:v>
      </x:c>
    </x:row>
    <x:row r="83">
      <x:c r="A83" s="36" t="n">
        <x:v>82</x:v>
      </x:c>
      <x:c r="B83" s="36" t="str">
        <x:v>HH06</x:v>
      </x:c>
      <x:c r="C83" s="36" t="n">
        <x:v>1993</x:v>
      </x:c>
      <x:c r="D83" s="37" t="str">
        <x:v>Snoop Doggy Dogg</x:v>
      </x:c>
      <x:c r="E83" s="37" t="str">
        <x:v>Gin and Juice</x:v>
      </x:c>
      <x:c r="F83" s="37" t="str">
        <x:v>original Doggystyle album version</x:v>
      </x:c>
      <x:c r="G83" s="37" t="str">
        <x:v>Long Beach / California</x:v>
      </x:c>
      <x:c r="H83" s="37" t="str">
        <x:v>G-funk; persona; flow</x:v>
      </x:c>
      <x:c r="I83" s="37" t="str">
        <x:v>Relaxed flow and domestic party narrative</x:v>
      </x:c>
      <x:c r="J83" s="37" t="str">
        <x:v>provisional</x:v>
      </x:c>
      <x:c r="K83" s="37" t="str">
        <x:v>metadata_unverified</x:v>
      </x:c>
      <x:c r="L83" s="37" t="str">
        <x:v>soundcloud_unresolved</x:v>
      </x:c>
      <x:c r="M83" s="37" t="str"/>
      <x:c r="N83" s="37" t="str">
        <x:v>Canonical</x:v>
      </x:c>
      <x:c r="O83" s="37" t="str">
        <x:v>us</x:v>
      </x:c>
      <x:c r="P83" s="37" t="str"/>
      <x:c r="Q83" s="37" t="n">
        <x:v>0</x:v>
      </x:c>
      <x:c r="R83" s="37" t="n">
        <x:v>0</x:v>
      </x:c>
      <x:c r="S83" s="37" t="n">
        <x:v>0</x:v>
      </x:c>
    </x:row>
    <x:row r="84">
      <x:c r="A84" s="36" t="n">
        <x:v>83</x:v>
      </x:c>
      <x:c r="B84" s="36" t="str">
        <x:v>HH06</x:v>
      </x:c>
      <x:c r="C84" s="36" t="n">
        <x:v>1993</x:v>
      </x:c>
      <x:c r="D84" s="37" t="str">
        <x:v>2Pac</x:v>
      </x:c>
      <x:c r="E84" s="37" t="str">
        <x:v>Keep Ya Head Up</x:v>
      </x:c>
      <x:c r="F84" s="37" t="str">
        <x:v>original album version</x:v>
      </x:c>
      <x:c r="G84" s="37" t="str">
        <x:v>California</x:v>
      </x:c>
      <x:c r="H84" s="37" t="str">
        <x:v>message; women; social-critique</x:v>
      </x:c>
      <x:c r="I84" s="37" t="str">
        <x:v>Popular political address on misogyny poverty and survival</x:v>
      </x:c>
      <x:c r="J84" s="37" t="str">
        <x:v>provisional</x:v>
      </x:c>
      <x:c r="K84" s="37" t="str">
        <x:v>metadata_unverified</x:v>
      </x:c>
      <x:c r="L84" s="37" t="str">
        <x:v>soundcloud_unresolved</x:v>
      </x:c>
      <x:c r="M84" s="37" t="str"/>
      <x:c r="N84" s="37" t="str">
        <x:v>Contextualize contradiction across catalog</x:v>
      </x:c>
      <x:c r="O84" s="37" t="str">
        <x:v>us</x:v>
      </x:c>
      <x:c r="P84" s="37" t="str">
        <x:v>women</x:v>
      </x:c>
      <x:c r="Q84" s="37" t="n">
        <x:v>1</x:v>
      </x:c>
      <x:c r="R84" s="37" t="n">
        <x:v>0</x:v>
      </x:c>
      <x:c r="S84" s="37" t="n">
        <x:v>0</x:v>
      </x:c>
    </x:row>
    <x:row r="85">
      <x:c r="A85" s="36" t="n">
        <x:v>84</x:v>
      </x:c>
      <x:c r="B85" s="36" t="str">
        <x:v>HH06</x:v>
      </x:c>
      <x:c r="C85" s="36" t="n">
        <x:v>1993</x:v>
      </x:c>
      <x:c r="D85" s="37" t="str">
        <x:v>Wu-Tang Clan</x:v>
      </x:c>
      <x:c r="E85" s="37" t="str">
        <x:v>C.R.E.A.M.</x:v>
      </x:c>
      <x:c r="F85" s="37" t="str">
        <x:v>original album version</x:v>
      </x:c>
      <x:c r="G85" s="37" t="str">
        <x:v>Staten Island / New York</x:v>
      </x:c>
      <x:c r="H85" s="37" t="str">
        <x:v>crew; dusty-sampling; street-reportage</x:v>
      </x:c>
      <x:c r="I85" s="37" t="str">
        <x:v>Crew mythology and economic street report</x:v>
      </x:c>
      <x:c r="J85" s="37" t="str">
        <x:v>provisional</x:v>
      </x:c>
      <x:c r="K85" s="37" t="str">
        <x:v>metadata_unverified</x:v>
      </x:c>
      <x:c r="L85" s="37" t="str">
        <x:v>soundcloud_unresolved</x:v>
      </x:c>
      <x:c r="M85" s="37" t="str"/>
      <x:c r="N85" s="37" t="str">
        <x:v>Canonical and cliched because indispensable</x:v>
      </x:c>
      <x:c r="O85" s="37" t="str">
        <x:v>us</x:v>
      </x:c>
      <x:c r="P85" s="37" t="str"/>
      <x:c r="Q85" s="37" t="n">
        <x:v>0</x:v>
      </x:c>
      <x:c r="R85" s="37" t="n">
        <x:v>0</x:v>
      </x:c>
      <x:c r="S85" s="37" t="n">
        <x:v>0</x:v>
      </x:c>
    </x:row>
    <x:row r="86">
      <x:c r="A86" s="36" t="n">
        <x:v>85</x:v>
      </x:c>
      <x:c r="B86" s="36" t="str">
        <x:v>HH06</x:v>
      </x:c>
      <x:c r="C86" s="36" t="n">
        <x:v>1994</x:v>
      </x:c>
      <x:c r="D86" s="37" t="str">
        <x:v>Nas</x:v>
      </x:c>
      <x:c r="E86" s="37" t="str">
        <x:v>N.Y. State of Mind</x:v>
      </x:c>
      <x:c r="F86" s="37" t="str">
        <x:v>original Illmatic album version</x:v>
      </x:c>
      <x:c r="G86" s="37" t="str">
        <x:v>Queensbridge / New York</x:v>
      </x:c>
      <x:c r="H86" s="37" t="str">
        <x:v>lyrical; boom-bap; narrative</x:v>
      </x:c>
      <x:c r="I86" s="37" t="str">
        <x:v>Interior rhyme scene-setting and producer anthology model</x:v>
      </x:c>
      <x:c r="J86" s="37" t="str">
        <x:v>provisional</x:v>
      </x:c>
      <x:c r="K86" s="37" t="str">
        <x:v>metadata_unverified</x:v>
      </x:c>
      <x:c r="L86" s="37" t="str">
        <x:v>soundcloud_unresolved</x:v>
      </x:c>
      <x:c r="M86" s="37" t="str"/>
      <x:c r="N86" s="37" t="str">
        <x:v>Canonical</x:v>
      </x:c>
      <x:c r="O86" s="37" t="str">
        <x:v>us</x:v>
      </x:c>
      <x:c r="P86" s="37" t="str"/>
      <x:c r="Q86" s="37" t="n">
        <x:v>0</x:v>
      </x:c>
      <x:c r="R86" s="37" t="n">
        <x:v>0</x:v>
      </x:c>
      <x:c r="S86" s="37" t="n">
        <x:v>0</x:v>
      </x:c>
    </x:row>
    <x:row r="87">
      <x:c r="A87" s="36" t="n">
        <x:v>86</x:v>
      </x:c>
      <x:c r="B87" s="36" t="str">
        <x:v>HH06</x:v>
      </x:c>
      <x:c r="C87" s="36" t="n">
        <x:v>1994</x:v>
      </x:c>
      <x:c r="D87" s="37" t="str">
        <x:v>The Notorious B.I.G.</x:v>
      </x:c>
      <x:c r="E87" s="37" t="str">
        <x:v>Warning</x:v>
      </x:c>
      <x:c r="F87" s="37" t="str">
        <x:v>original Ready to Die album version</x:v>
      </x:c>
      <x:c r="G87" s="37" t="str">
        <x:v>Brooklyn / New York</x:v>
      </x:c>
      <x:c r="H87" s="37" t="str">
        <x:v>narrative; mafioso; flow</x:v>
      </x:c>
      <x:c r="I87" s="37" t="str">
        <x:v>Telephone-frame suspense and vocal character control</x:v>
      </x:c>
      <x:c r="J87" s="37" t="str">
        <x:v>provisional</x:v>
      </x:c>
      <x:c r="K87" s="37" t="str">
        <x:v>metadata_unverified</x:v>
      </x:c>
      <x:c r="L87" s="37" t="str">
        <x:v>soundcloud_unresolved</x:v>
      </x:c>
      <x:c r="M87" s="37" t="str"/>
      <x:c r="N87" s="37" t="str">
        <x:v>Avoid reducing artist to coastal rivalry</x:v>
      </x:c>
      <x:c r="O87" s="37" t="str">
        <x:v>us</x:v>
      </x:c>
      <x:c r="P87" s="37" t="str"/>
      <x:c r="Q87" s="37" t="n">
        <x:v>0</x:v>
      </x:c>
      <x:c r="R87" s="37" t="n">
        <x:v>0</x:v>
      </x:c>
      <x:c r="S87" s="37" t="n">
        <x:v>0</x:v>
      </x:c>
    </x:row>
    <x:row r="88">
      <x:c r="A88" s="36" t="n">
        <x:v>87</x:v>
      </x:c>
      <x:c r="B88" s="36" t="str">
        <x:v>HH06</x:v>
      </x:c>
      <x:c r="C88" s="36" t="n">
        <x:v>1995</x:v>
      </x:c>
      <x:c r="D88" s="37" t="str">
        <x:v>Mobb Deep</x:v>
      </x:c>
      <x:c r="E88" s="37" t="str">
        <x:v>Shook Ones Pt. II</x:v>
      </x:c>
      <x:c r="F88" s="37" t="str">
        <x:v>original album version</x:v>
      </x:c>
      <x:c r="G88" s="37" t="str">
        <x:v>Queensbridge / New York</x:v>
      </x:c>
      <x:c r="H88" s="37" t="str">
        <x:v>hardcore; minimal; street</x:v>
      </x:c>
      <x:c r="I88" s="37" t="str">
        <x:v>Severe loop economy and collective menace</x:v>
      </x:c>
      <x:c r="J88" s="37" t="str">
        <x:v>provisional</x:v>
      </x:c>
      <x:c r="K88" s="37" t="str">
        <x:v>metadata_unverified</x:v>
      </x:c>
      <x:c r="L88" s="37" t="str">
        <x:v>soundcloud_unresolved</x:v>
      </x:c>
      <x:c r="M88" s="37" t="str"/>
      <x:c r="N88" s="37" t="str">
        <x:v>Canonical</x:v>
      </x:c>
      <x:c r="O88" s="37" t="str">
        <x:v>us</x:v>
      </x:c>
      <x:c r="P88" s="37" t="str"/>
      <x:c r="Q88" s="37" t="n">
        <x:v>0</x:v>
      </x:c>
      <x:c r="R88" s="37" t="n">
        <x:v>0</x:v>
      </x:c>
      <x:c r="S88" s="37" t="n">
        <x:v>0</x:v>
      </x:c>
    </x:row>
    <x:row r="89">
      <x:c r="A89" s="36" t="n">
        <x:v>88</x:v>
      </x:c>
      <x:c r="B89" s="36" t="str">
        <x:v>HH06</x:v>
      </x:c>
      <x:c r="C89" s="36" t="n">
        <x:v>1993</x:v>
      </x:c>
      <x:c r="D89" s="37" t="str">
        <x:v>Boss</x:v>
      </x:c>
      <x:c r="E89" s="37" t="str">
        <x:v>Deeper</x:v>
      </x:c>
      <x:c r="F89" s="37" t="str">
        <x:v>original Born Gangstaz album version</x:v>
      </x:c>
      <x:c r="G89" s="37" t="str">
        <x:v>Detroit / Los Angeles</x:v>
      </x:c>
      <x:c r="H89" s="37" t="str">
        <x:v>women; Midwest; gangsta</x:v>
      </x:c>
      <x:c r="I89" s="37" t="str">
        <x:v>A Detroit woman MC's forceful intervention in gangsta-rap marketing and performance</x:v>
      </x:c>
      <x:c r="J89" s="37" t="str">
        <x:v>provisional</x:v>
      </x:c>
      <x:c r="K89" s="37" t="str">
        <x:v>metadata_unverified</x:v>
      </x:c>
      <x:c r="L89" s="37" t="str">
        <x:v>soundcloud_unresolved</x:v>
      </x:c>
      <x:c r="M89" s="37" t="str"/>
      <x:c r="N89" s="37" t="str">
        <x:v>Contextualize label-manufactured biography debates</x:v>
      </x:c>
      <x:c r="O89" s="37" t="str">
        <x:v>us</x:v>
      </x:c>
      <x:c r="P89" s="37" t="str">
        <x:v>women</x:v>
      </x:c>
      <x:c r="Q89" s="37" t="n">
        <x:v>1</x:v>
      </x:c>
      <x:c r="R89" s="37" t="n">
        <x:v>0</x:v>
      </x:c>
      <x:c r="S89" s="37" t="n">
        <x:v>0</x:v>
      </x:c>
    </x:row>
    <x:row r="90">
      <x:c r="A90" s="36" t="n">
        <x:v>89</x:v>
      </x:c>
      <x:c r="B90" s="36" t="str">
        <x:v>HH06</x:v>
      </x:c>
      <x:c r="C90" s="36" t="n">
        <x:v>1996</x:v>
      </x:c>
      <x:c r="D90" s="37" t="str">
        <x:v>Bone Thugs-N-Harmony</x:v>
      </x:c>
      <x:c r="E90" s="37" t="str">
        <x:v>Tha Crossroads</x:v>
      </x:c>
      <x:c r="F90" s="37" t="str">
        <x:v>preferred 1996 remix/single version</x:v>
      </x:c>
      <x:c r="G90" s="37" t="str">
        <x:v>Cleveland / Ohio</x:v>
      </x:c>
      <x:c r="H90" s="37" t="str">
        <x:v>Midwest; melodic-flow; mourning</x:v>
      </x:c>
      <x:c r="I90" s="37" t="str">
        <x:v>Rapid melodic ensemble flow and Midwestern national breakthrough</x:v>
      </x:c>
      <x:c r="J90" s="37" t="str">
        <x:v>provisional</x:v>
      </x:c>
      <x:c r="K90" s="37" t="str">
        <x:v>metadata_unverified</x:v>
      </x:c>
      <x:c r="L90" s="37" t="str">
        <x:v>soundcloud_unresolved</x:v>
      </x:c>
      <x:c r="M90" s="37" t="str"/>
      <x:c r="N90" s="37" t="str">
        <x:v>Known original/remix distinction must be fixed</x:v>
      </x:c>
      <x:c r="O90" s="37" t="str">
        <x:v>us</x:v>
      </x:c>
      <x:c r="P90" s="37" t="str"/>
      <x:c r="Q90" s="37" t="n">
        <x:v>0</x:v>
      </x:c>
      <x:c r="R90" s="37" t="n">
        <x:v>0</x:v>
      </x:c>
      <x:c r="S90" s="37" t="n">
        <x:v>0</x:v>
      </x:c>
    </x:row>
    <x:row r="91">
      <x:c r="A91" s="36" t="n">
        <x:v>90</x:v>
      </x:c>
      <x:c r="B91" s="36" t="str">
        <x:v>HH06</x:v>
      </x:c>
      <x:c r="C91" s="36" t="n">
        <x:v>1993</x:v>
      </x:c>
      <x:c r="D91" s="37" t="str">
        <x:v>The Coup</x:v>
      </x:c>
      <x:c r="E91" s="37" t="str">
        <x:v>Dig It!</x:v>
      </x:c>
      <x:c r="F91" s="37" t="str">
        <x:v>original album version</x:v>
      </x:c>
      <x:c r="G91" s="37" t="str">
        <x:v>Oakland / California</x:v>
      </x:c>
      <x:c r="H91" s="37" t="str">
        <x:v>political; funk; radical</x:v>
      </x:c>
      <x:c r="I91" s="37" t="str">
        <x:v>Radical politics wit and Bay Area funk</x:v>
      </x:c>
      <x:c r="J91" s="37" t="str">
        <x:v>provisional</x:v>
      </x:c>
      <x:c r="K91" s="37" t="str">
        <x:v>metadata_unverified</x:v>
      </x:c>
      <x:c r="L91" s="37" t="str">
        <x:v>soundcloud_unresolved</x:v>
      </x:c>
      <x:c r="M91" s="37" t="str"/>
      <x:c r="N91" s="37" t="str">
        <x:v>Recognition prompt</x:v>
      </x:c>
      <x:c r="O91" s="37" t="str">
        <x:v>us</x:v>
      </x:c>
      <x:c r="P91" s="37" t="str"/>
      <x:c r="Q91" s="37" t="n">
        <x:v>0</x:v>
      </x:c>
      <x:c r="R91" s="37" t="n">
        <x:v>0</x:v>
      </x:c>
      <x:c r="S91" s="37" t="n">
        <x:v>0</x:v>
      </x:c>
    </x:row>
    <x:row r="92">
      <x:c r="A92" s="36" t="n">
        <x:v>91</x:v>
      </x:c>
      <x:c r="B92" s="36" t="str">
        <x:v>HH06</x:v>
      </x:c>
      <x:c r="C92" s="36" t="n">
        <x:v>1994</x:v>
      </x:c>
      <x:c r="D92" s="37" t="str">
        <x:v>Outkast featuring CeeLo</x:v>
      </x:c>
      <x:c r="E92" s="37" t="str">
        <x:v>Git Up, Git Out</x:v>
      </x:c>
      <x:c r="F92" s="37" t="str">
        <x:v>original Southernplayalistic album version</x:v>
      </x:c>
      <x:c r="G92" s="37" t="str">
        <x:v>Atlanta</x:v>
      </x:c>
      <x:c r="H92" s="37" t="str">
        <x:v>Southern; Organized-Noize; message</x:v>
      </x:c>
      <x:c r="I92" s="37" t="str">
        <x:v>Southern self-determination and Dungeon Family ecology</x:v>
      </x:c>
      <x:c r="J92" s="37" t="str">
        <x:v>provisional</x:v>
      </x:c>
      <x:c r="K92" s="37" t="str">
        <x:v>metadata_unverified</x:v>
      </x:c>
      <x:c r="L92" s="37" t="str">
        <x:v>soundcloud_unresolved</x:v>
      </x:c>
      <x:c r="M92" s="37" t="str"/>
      <x:c r="N92" s="37" t="str">
        <x:v>Exact feature credits verify</x:v>
      </x:c>
      <x:c r="O92" s="37" t="str">
        <x:v>us</x:v>
      </x:c>
      <x:c r="P92" s="37" t="str"/>
      <x:c r="Q92" s="37" t="n">
        <x:v>0</x:v>
      </x:c>
      <x:c r="R92" s="37" t="n">
        <x:v>0</x:v>
      </x:c>
      <x:c r="S92" s="37" t="n">
        <x:v>0</x:v>
      </x:c>
    </x:row>
    <x:row r="93">
      <x:c r="A93" s="36" t="n">
        <x:v>92</x:v>
      </x:c>
      <x:c r="B93" s="36" t="str">
        <x:v>HH06</x:v>
      </x:c>
      <x:c r="C93" s="36" t="n">
        <x:v>1995</x:v>
      </x:c>
      <x:c r="D93" s="37" t="str">
        <x:v>Goodie Mob</x:v>
      </x:c>
      <x:c r="E93" s="37" t="str">
        <x:v>Cell Therapy</x:v>
      </x:c>
      <x:c r="F93" s="37" t="str">
        <x:v>original Soul Food album version</x:v>
      </x:c>
      <x:c r="G93" s="37" t="str">
        <x:v>Atlanta</x:v>
      </x:c>
      <x:c r="H93" s="37" t="str">
        <x:v>Southern; political; paranoia</x:v>
      </x:c>
      <x:c r="I93" s="37" t="str">
        <x:v>Collective political paranoia and Southern gothic atmosphere</x:v>
      </x:c>
      <x:c r="J93" s="37" t="str">
        <x:v>provisional</x:v>
      </x:c>
      <x:c r="K93" s="37" t="str">
        <x:v>metadata_unverified</x:v>
      </x:c>
      <x:c r="L93" s="37" t="str">
        <x:v>soundcloud_unresolved</x:v>
      </x:c>
      <x:c r="M93" s="37" t="str"/>
      <x:c r="N93" s="37" t="str">
        <x:v>Canonical regional anchor</x:v>
      </x:c>
      <x:c r="O93" s="37" t="str">
        <x:v>us</x:v>
      </x:c>
      <x:c r="P93" s="37" t="str"/>
      <x:c r="Q93" s="37" t="n">
        <x:v>0</x:v>
      </x:c>
      <x:c r="R93" s="37" t="n">
        <x:v>0</x:v>
      </x:c>
      <x:c r="S93" s="37" t="n">
        <x:v>0</x:v>
      </x:c>
    </x:row>
    <x:row r="94">
      <x:c r="A94" s="36" t="n">
        <x:v>93</x:v>
      </x:c>
      <x:c r="B94" s="36" t="str">
        <x:v>HH06</x:v>
      </x:c>
      <x:c r="C94" s="36" t="n">
        <x:v>1996</x:v>
      </x:c>
      <x:c r="D94" s="37" t="str">
        <x:v>UGK</x:v>
      </x:c>
      <x:c r="E94" s="37" t="str">
        <x:v>One Day</x:v>
      </x:c>
      <x:c r="F94" s="37" t="str">
        <x:v>original Ridin' Dirty album version</x:v>
      </x:c>
      <x:c r="G94" s="37" t="str">
        <x:v>Port Arthur / Houston</x:v>
      </x:c>
      <x:c r="H94" s="37" t="str">
        <x:v>Southern; mortality; funk</x:v>
      </x:c>
      <x:c r="I94" s="37" t="str">
        <x:v>Texas narrative melancholy and regional independence</x:v>
      </x:c>
      <x:c r="J94" s="37" t="str">
        <x:v>provisional</x:v>
      </x:c>
      <x:c r="K94" s="37" t="str">
        <x:v>metadata_unverified</x:v>
      </x:c>
      <x:c r="L94" s="37" t="str">
        <x:v>soundcloud_unresolved</x:v>
      </x:c>
      <x:c r="M94" s="37" t="str"/>
      <x:c r="N94" s="37" t="str">
        <x:v>Verify feature credits</x:v>
      </x:c>
      <x:c r="O94" s="37" t="str">
        <x:v>us</x:v>
      </x:c>
      <x:c r="P94" s="37" t="str"/>
      <x:c r="Q94" s="37" t="n">
        <x:v>0</x:v>
      </x:c>
      <x:c r="R94" s="37" t="n">
        <x:v>0</x:v>
      </x:c>
      <x:c r="S94" s="37" t="n">
        <x:v>0</x:v>
      </x:c>
    </x:row>
    <x:row r="95">
      <x:c r="A95" s="36" t="n">
        <x:v>94</x:v>
      </x:c>
      <x:c r="B95" s="36" t="str">
        <x:v>HH06</x:v>
      </x:c>
      <x:c r="C95" s="36" t="n">
        <x:v>1995</x:v>
      </x:c>
      <x:c r="D95" s="37" t="str">
        <x:v>Three 6 Mafia</x:v>
      </x:c>
      <x:c r="E95" s="37" t="str">
        <x:v>Da Summa</x:v>
      </x:c>
      <x:c r="F95" s="37" t="str">
        <x:v>original Mystic Stylez album version</x:v>
      </x:c>
      <x:c r="G95" s="37" t="str">
        <x:v>Memphis</x:v>
      </x:c>
      <x:c r="H95" s="37" t="str">
        <x:v>Memphis; cassette-lineage; dark</x:v>
      </x:c>
      <x:c r="I95" s="37" t="str">
        <x:v>Memphis atmosphere beyond horror caricature</x:v>
      </x:c>
      <x:c r="J95" s="37" t="str">
        <x:v>provisional</x:v>
      </x:c>
      <x:c r="K95" s="37" t="str">
        <x:v>metadata_unverified</x:v>
      </x:c>
      <x:c r="L95" s="37" t="str">
        <x:v>soundcloud_unresolved</x:v>
      </x:c>
      <x:c r="M95" s="37" t="str"/>
      <x:c r="N95" s="37" t="str">
        <x:v>Original album master required</x:v>
      </x:c>
      <x:c r="O95" s="37" t="str">
        <x:v>us</x:v>
      </x:c>
      <x:c r="P95" s="37" t="str"/>
      <x:c r="Q95" s="37" t="n">
        <x:v>0</x:v>
      </x:c>
      <x:c r="R95" s="37" t="n">
        <x:v>0</x:v>
      </x:c>
      <x:c r="S95" s="37" t="n">
        <x:v>0</x:v>
      </x:c>
    </x:row>
    <x:row r="96">
      <x:c r="A96" s="36" t="n">
        <x:v>95</x:v>
      </x:c>
      <x:c r="B96" s="36" t="str">
        <x:v>HH06</x:v>
      </x:c>
      <x:c r="C96" s="36" t="n">
        <x:v>1996</x:v>
      </x:c>
      <x:c r="D96" s="37" t="str">
        <x:v>DJ Screw and Screwed Up Click</x:v>
      </x:c>
      <x:c r="E96" s="37" t="str">
        <x:v>June 27th Freestyle</x:v>
      </x:c>
      <x:c r="F96" s="37" t="str">
        <x:v>original June 27 mixtape performance</x:v>
      </x:c>
      <x:c r="G96" s="37" t="str">
        <x:v>Houston</x:v>
      </x:c>
      <x:c r="H96" s="37" t="str">
        <x:v>chopped-and-screwed; mixtape; freestyle</x:v>
      </x:c>
      <x:c r="I96" s="37" t="str">
        <x:v>Screw culture as collective listening practice</x:v>
      </x:c>
      <x:c r="J96" s="37" t="str">
        <x:v>provisional</x:v>
      </x:c>
      <x:c r="K96" s="37" t="str">
        <x:v>metadata_unverified</x:v>
      </x:c>
      <x:c r="L96" s="37" t="str">
        <x:v>soundcloud_unresolved</x:v>
      </x:c>
      <x:c r="M96" s="37" t="str"/>
      <x:c r="N96" s="37" t="str">
        <x:v>Long-form object; exact tape chapter and excerpt policy needed</x:v>
      </x:c>
      <x:c r="O96" s="37" t="str">
        <x:v>us</x:v>
      </x:c>
      <x:c r="P96" s="37" t="str"/>
      <x:c r="Q96" s="37" t="n">
        <x:v>0</x:v>
      </x:c>
      <x:c r="R96" s="37" t="n">
        <x:v>0</x:v>
      </x:c>
      <x:c r="S96" s="37" t="n">
        <x:v>0</x:v>
      </x:c>
    </x:row>
    <x:row r="97">
      <x:c r="A97" s="36" t="n">
        <x:v>96</x:v>
      </x:c>
      <x:c r="B97" s="36" t="str">
        <x:v>HH06</x:v>
      </x:c>
      <x:c r="C97" s="36" t="n">
        <x:v>1993</x:v>
      </x:c>
      <x:c r="D97" s="37" t="str">
        <x:v>Juvenile</x:v>
      </x:c>
      <x:c r="E97" s="37" t="str">
        <x:v>Bounce for the Juvenile</x:v>
      </x:c>
      <x:c r="F97" s="37" t="str">
        <x:v>original album version</x:v>
      </x:c>
      <x:c r="G97" s="37" t="str">
        <x:v>New Orleans</x:v>
      </x:c>
      <x:c r="H97" s="37" t="str">
        <x:v>bounce; dance; regional</x:v>
      </x:c>
      <x:c r="I97" s="37" t="str">
        <x:v>Early New Orleans bounce vocal and rhythmic practice</x:v>
      </x:c>
      <x:c r="J97" s="37" t="str">
        <x:v>provisional</x:v>
      </x:c>
      <x:c r="K97" s="37" t="str">
        <x:v>metadata_unverified</x:v>
      </x:c>
      <x:c r="L97" s="37" t="str">
        <x:v>soundcloud_unresolved</x:v>
      </x:c>
      <x:c r="M97" s="37" t="str"/>
      <x:c r="N97" s="37" t="str">
        <x:v>Metadata verify</x:v>
      </x:c>
      <x:c r="O97" s="37" t="str">
        <x:v>us</x:v>
      </x:c>
      <x:c r="P97" s="37" t="str"/>
      <x:c r="Q97" s="37" t="n">
        <x:v>0</x:v>
      </x:c>
      <x:c r="R97" s="37" t="n">
        <x:v>0</x:v>
      </x:c>
      <x:c r="S97" s="37" t="n">
        <x:v>0</x:v>
      </x:c>
    </x:row>
    <x:row r="98">
      <x:c r="A98" s="36" t="n">
        <x:v>97</x:v>
      </x:c>
      <x:c r="B98" s="36" t="str">
        <x:v>HH06</x:v>
      </x:c>
      <x:c r="C98" s="36" t="n">
        <x:v>1993</x:v>
      </x:c>
      <x:c r="D98" s="37" t="str">
        <x:v>DJ Jubilee</x:v>
      </x:c>
      <x:c r="E98" s="37" t="str">
        <x:v>Do the Jubilee All</x:v>
      </x:c>
      <x:c r="F98" s="37" t="str">
        <x:v>original version</x:v>
      </x:c>
      <x:c r="G98" s="37" t="str">
        <x:v>New Orleans</x:v>
      </x:c>
      <x:c r="H98" s="37" t="str">
        <x:v>bounce; dance-instruction; DJ</x:v>
      </x:c>
      <x:c r="I98" s="37" t="str">
        <x:v>Dance instruction and local participatory function</x:v>
      </x:c>
      <x:c r="J98" s="37" t="str">
        <x:v>provisional</x:v>
      </x:c>
      <x:c r="K98" s="37" t="str">
        <x:v>metadata_unverified</x:v>
      </x:c>
      <x:c r="L98" s="37" t="str">
        <x:v>soundcloud_unresolved</x:v>
      </x:c>
      <x:c r="M98" s="37" t="str"/>
      <x:c r="N98" s="37" t="str">
        <x:v>Exact release source required</x:v>
      </x:c>
      <x:c r="O98" s="37" t="str">
        <x:v>us</x:v>
      </x:c>
      <x:c r="P98" s="37" t="str">
        <x:v>non_mc_role_or_live</x:v>
      </x:c>
      <x:c r="Q98" s="37" t="n">
        <x:v>0</x:v>
      </x:c>
      <x:c r="R98" s="37" t="n">
        <x:v>0</x:v>
      </x:c>
      <x:c r="S98" s="37" t="n">
        <x:v>1</x:v>
      </x:c>
    </x:row>
    <x:row r="99">
      <x:c r="A99" s="36" t="n">
        <x:v>98</x:v>
      </x:c>
      <x:c r="B99" s="36" t="str">
        <x:v>HH06</x:v>
      </x:c>
      <x:c r="C99" s="36" t="n">
        <x:v>1994</x:v>
      </x:c>
      <x:c r="D99" s="37" t="str">
        <x:v>Common</x:v>
      </x:c>
      <x:c r="E99" s="37" t="str">
        <x:v>I Used to Love H.E.R.</x:v>
      </x:c>
      <x:c r="F99" s="37" t="str">
        <x:v>original album version</x:v>
      </x:c>
      <x:c r="G99" s="37" t="str">
        <x:v>Chicago</x:v>
      </x:c>
      <x:c r="H99" s="37" t="str">
        <x:v>allegory; critique; Midwest</x:v>
      </x:c>
      <x:c r="I99" s="37" t="str">
        <x:v>Allegorical hip-hop criticism and contested gendering</x:v>
      </x:c>
      <x:c r="J99" s="37" t="str">
        <x:v>provisional</x:v>
      </x:c>
      <x:c r="K99" s="37" t="str">
        <x:v>metadata_unverified</x:v>
      </x:c>
      <x:c r="L99" s="37" t="str">
        <x:v>soundcloud_unresolved</x:v>
      </x:c>
      <x:c r="M99" s="37" t="str"/>
      <x:c r="N99" s="37" t="str">
        <x:v>Recognition prompt; include competing readings</x:v>
      </x:c>
      <x:c r="O99" s="37" t="str">
        <x:v>us</x:v>
      </x:c>
      <x:c r="P99" s="37" t="str"/>
      <x:c r="Q99" s="37" t="n">
        <x:v>0</x:v>
      </x:c>
      <x:c r="R99" s="37" t="n">
        <x:v>0</x:v>
      </x:c>
      <x:c r="S99" s="37" t="n">
        <x:v>0</x:v>
      </x:c>
    </x:row>
    <x:row r="100">
      <x:c r="A100" s="36" t="n">
        <x:v>99</x:v>
      </x:c>
      <x:c r="B100" s="36" t="str">
        <x:v>HH06</x:v>
      </x:c>
      <x:c r="C100" s="36" t="n">
        <x:v>1994</x:v>
      </x:c>
      <x:c r="D100" s="37" t="str">
        <x:v>Da Brat</x:v>
      </x:c>
      <x:c r="E100" s="37" t="str">
        <x:v>Funkdafied</x:v>
      </x:c>
      <x:c r="F100" s="37" t="str">
        <x:v>original album version</x:v>
      </x:c>
      <x:c r="G100" s="37" t="str">
        <x:v>Chicago / Atlanta</x:v>
      </x:c>
      <x:c r="H100" s="37" t="str">
        <x:v>women; Midwest-South; G-funk</x:v>
      </x:c>
      <x:c r="I100" s="37" t="str">
        <x:v>Woman MC crossover through a Chicago-Atlanta production circuit</x:v>
      </x:c>
      <x:c r="J100" s="37" t="str">
        <x:v>provisional</x:v>
      </x:c>
      <x:c r="K100" s="37" t="str">
        <x:v>metadata_unverified</x:v>
      </x:c>
      <x:c r="L100" s="37" t="str">
        <x:v>soundcloud_unresolved</x:v>
      </x:c>
      <x:c r="M100" s="37" t="str"/>
      <x:c r="N100" s="37" t="str">
        <x:v>Verify remix variants</x:v>
      </x:c>
      <x:c r="O100" s="37" t="str">
        <x:v>us</x:v>
      </x:c>
      <x:c r="P100" s="37" t="str">
        <x:v>women</x:v>
      </x:c>
      <x:c r="Q100" s="37" t="n">
        <x:v>1</x:v>
      </x:c>
      <x:c r="R100" s="37" t="n">
        <x:v>0</x:v>
      </x:c>
      <x:c r="S100" s="37" t="n">
        <x:v>0</x:v>
      </x:c>
    </x:row>
    <x:row r="101">
      <x:c r="A101" s="36" t="n">
        <x:v>100</x:v>
      </x:c>
      <x:c r="B101" s="36" t="str">
        <x:v>HH06</x:v>
      </x:c>
      <x:c r="C101" s="36" t="n">
        <x:v>1996</x:v>
      </x:c>
      <x:c r="D101" s="37" t="str">
        <x:v>Bahamadia</x:v>
      </x:c>
      <x:c r="E101" s="37" t="str">
        <x:v>Uknowhowwedu</x:v>
      </x:c>
      <x:c r="F101" s="37" t="str">
        <x:v>original Kollage album version</x:v>
      </x:c>
      <x:c r="G101" s="37" t="str">
        <x:v>Philadelphia</x:v>
      </x:c>
      <x:c r="H101" s="37" t="str">
        <x:v>women; flow; jazz-rap</x:v>
      </x:c>
      <x:c r="I101" s="37" t="str">
        <x:v>Understated rhythmic precision and Philadelphia scene</x:v>
      </x:c>
      <x:c r="J101" s="37" t="str">
        <x:v>provisional</x:v>
      </x:c>
      <x:c r="K101" s="37" t="str">
        <x:v>metadata_unverified</x:v>
      </x:c>
      <x:c r="L101" s="37" t="str">
        <x:v>soundcloud_unresolved</x:v>
      </x:c>
      <x:c r="M101" s="37" t="str"/>
      <x:c r="N101" s="37" t="str">
        <x:v>Deep-route anchor</x:v>
      </x:c>
      <x:c r="O101" s="37" t="str">
        <x:v>us</x:v>
      </x:c>
      <x:c r="P101" s="37" t="str">
        <x:v>women</x:v>
      </x:c>
      <x:c r="Q101" s="37" t="n">
        <x:v>1</x:v>
      </x:c>
      <x:c r="R101" s="37" t="n">
        <x:v>0</x:v>
      </x:c>
      <x:c r="S101" s="37" t="n">
        <x:v>0</x:v>
      </x:c>
    </x:row>
    <x:row r="102">
      <x:c r="A102" s="36" t="n">
        <x:v>101</x:v>
      </x:c>
      <x:c r="B102" s="36" t="str">
        <x:v>HH06</x:v>
      </x:c>
      <x:c r="C102" s="36" t="n">
        <x:v>1993</x:v>
      </x:c>
      <x:c r="D102" s="37" t="str">
        <x:v>IAM</x:v>
      </x:c>
      <x:c r="E102" s="37" t="str">
        <x:v>Je danse le mia</x:v>
      </x:c>
      <x:c r="F102" s="37" t="str">
        <x:v>original Ombre est lumière album version</x:v>
      </x:c>
      <x:c r="G102" s="37" t="str">
        <x:v>Marseille / France</x:v>
      </x:c>
      <x:c r="H102" s="37" t="str">
        <x:v>French-rap; memory; dance</x:v>
      </x:c>
      <x:c r="I102" s="37" t="str">
        <x:v>Local memory and ironic dance-floor reconstruction</x:v>
      </x:c>
      <x:c r="J102" s="37" t="str">
        <x:v>provisional</x:v>
      </x:c>
      <x:c r="K102" s="37" t="str">
        <x:v>metadata_unverified</x:v>
      </x:c>
      <x:c r="L102" s="37" t="str">
        <x:v>soundcloud_unresolved</x:v>
      </x:c>
      <x:c r="M102" s="37" t="str"/>
      <x:c r="N102" s="37" t="str">
        <x:v>Resolve radio versus album mix</x:v>
      </x:c>
      <x:c r="O102" s="37" t="str">
        <x:v>transnational_or_non_us</x:v>
      </x:c>
      <x:c r="P102" s="37" t="str"/>
      <x:c r="Q102" s="37" t="n">
        <x:v>0</x:v>
      </x:c>
      <x:c r="R102" s="37" t="n">
        <x:v>0</x:v>
      </x:c>
      <x:c r="S102" s="37" t="n">
        <x:v>0</x:v>
      </x:c>
    </x:row>
    <x:row r="103">
      <x:c r="A103" s="36" t="n">
        <x:v>102</x:v>
      </x:c>
      <x:c r="B103" s="36" t="str">
        <x:v>HH06</x:v>
      </x:c>
      <x:c r="C103" s="36" t="n">
        <x:v>1994</x:v>
      </x:c>
      <x:c r="D103" s="37" t="str">
        <x:v>MC Solaar</x:v>
      </x:c>
      <x:c r="E103" s="37" t="str">
        <x:v>Nouveau Western</x:v>
      </x:c>
      <x:c r="F103" s="37" t="str">
        <x:v>original Prose Combat album version</x:v>
      </x:c>
      <x:c r="G103" s="37" t="str">
        <x:v>France</x:v>
      </x:c>
      <x:c r="H103" s="37" t="str">
        <x:v>French-rap; literary; sampling</x:v>
      </x:c>
      <x:c r="I103" s="37" t="str">
        <x:v>French narrative and Gainsbourg sampling</x:v>
      </x:c>
      <x:c r="J103" s="37" t="str">
        <x:v>provisional</x:v>
      </x:c>
      <x:c r="K103" s="37" t="str">
        <x:v>metadata_unverified</x:v>
      </x:c>
      <x:c r="L103" s="37" t="str">
        <x:v>soundcloud_unresolved</x:v>
      </x:c>
      <x:c r="M103" s="37" t="str"/>
      <x:c r="N103" s="37" t="str">
        <x:v>Rights/version availability may vary</x:v>
      </x:c>
      <x:c r="O103" s="37" t="str">
        <x:v>transnational_or_non_us</x:v>
      </x:c>
      <x:c r="P103" s="37" t="str"/>
      <x:c r="Q103" s="37" t="n">
        <x:v>0</x:v>
      </x:c>
      <x:c r="R103" s="37" t="n">
        <x:v>0</x:v>
      </x:c>
      <x:c r="S103" s="37" t="n">
        <x:v>0</x:v>
      </x:c>
    </x:row>
    <x:row r="104">
      <x:c r="A104" s="36" t="n">
        <x:v>103</x:v>
      </x:c>
      <x:c r="B104" s="36" t="str">
        <x:v>HH06</x:v>
      </x:c>
      <x:c r="C104" s="36" t="n">
        <x:v>1993</x:v>
      </x:c>
      <x:c r="D104" s="37" t="str">
        <x:v>Racionais MC's</x:v>
      </x:c>
      <x:c r="E104" s="37" t="str">
        <x:v>Homem na Estrada</x:v>
      </x:c>
      <x:c r="F104" s="37" t="str">
        <x:v>original Raio X do Brasil version</x:v>
      </x:c>
      <x:c r="G104" s="37" t="str">
        <x:v>São Paulo / Brazil</x:v>
      </x:c>
      <x:c r="H104" s="37" t="str">
        <x:v>Brazilian-rap; political; periphery</x:v>
      </x:c>
      <x:c r="I104" s="37" t="str">
        <x:v>Peripheral urban reportage in Portuguese</x:v>
      </x:c>
      <x:c r="J104" s="37" t="str">
        <x:v>provisional</x:v>
      </x:c>
      <x:c r="K104" s="37" t="str">
        <x:v>metadata_unverified</x:v>
      </x:c>
      <x:c r="L104" s="37" t="str">
        <x:v>soundcloud_unresolved</x:v>
      </x:c>
      <x:c r="M104" s="37" t="str"/>
      <x:c r="N104" s="37" t="str">
        <x:v>Release/source audit required</x:v>
      </x:c>
      <x:c r="O104" s="37" t="str">
        <x:v>transnational_or_non_us</x:v>
      </x:c>
      <x:c r="P104" s="37" t="str"/>
      <x:c r="Q104" s="37" t="n">
        <x:v>0</x:v>
      </x:c>
      <x:c r="R104" s="37" t="n">
        <x:v>0</x:v>
      </x:c>
      <x:c r="S104" s="37" t="n">
        <x:v>0</x:v>
      </x:c>
    </x:row>
    <x:row r="105">
      <x:c r="A105" s="36" t="n">
        <x:v>104</x:v>
      </x:c>
      <x:c r="B105" s="36" t="str">
        <x:v>HH06</x:v>
      </x:c>
      <x:c r="C105" s="36" t="n">
        <x:v>1994</x:v>
      </x:c>
      <x:c r="D105" s="37" t="str">
        <x:v>Prophets of Da City</x:v>
      </x:c>
      <x:c r="E105" s="37" t="str">
        <x:v>Never Again</x:v>
      </x:c>
      <x:c r="F105" s="37" t="str">
        <x:v>original Age of Truth version</x:v>
      </x:c>
      <x:c r="G105" s="37" t="str">
        <x:v>Cape Town / South Africa</x:v>
      </x:c>
      <x:c r="H105" s="37" t="str">
        <x:v>anti-apartheid; political; African-hip-hop</x:v>
      </x:c>
      <x:c r="I105" s="37" t="str">
        <x:v>Direct anti-apartheid address during political transition</x:v>
      </x:c>
      <x:c r="J105" s="37" t="str">
        <x:v>provisional</x:v>
      </x:c>
      <x:c r="K105" s="37" t="str">
        <x:v>metadata_unverified</x:v>
      </x:c>
      <x:c r="L105" s="37" t="str">
        <x:v>soundcloud_unresolved</x:v>
      </x:c>
      <x:c r="M105" s="37" t="str"/>
      <x:c r="N105" s="37" t="str">
        <x:v>Verify date and version</x:v>
      </x:c>
      <x:c r="O105" s="37" t="str">
        <x:v>transnational_or_non_us</x:v>
      </x:c>
      <x:c r="P105" s="37" t="str"/>
      <x:c r="Q105" s="37" t="n">
        <x:v>0</x:v>
      </x:c>
      <x:c r="R105" s="37" t="n">
        <x:v>0</x:v>
      </x:c>
      <x:c r="S105" s="37" t="n">
        <x:v>0</x:v>
      </x:c>
    </x:row>
    <x:row r="106">
      <x:c r="A106" s="36" t="n">
        <x:v>105</x:v>
      </x:c>
      <x:c r="B106" s="36" t="str">
        <x:v>HH06</x:v>
      </x:c>
      <x:c r="C106" s="36" t="n">
        <x:v>1996</x:v>
      </x:c>
      <x:c r="D106" s="37" t="str">
        <x:v>Kaliber 44</x:v>
      </x:c>
      <x:c r="E106" s="37" t="str">
        <x:v>Plus i minus</x:v>
      </x:c>
      <x:c r="F106" s="37" t="str">
        <x:v>original Księga Tajemnicza. Prolog version</x:v>
      </x:c>
      <x:c r="G106" s="37" t="str">
        <x:v>Katowice / Poland</x:v>
      </x:c>
      <x:c r="H106" s="37" t="str">
        <x:v>Polish-rap; experimental; language</x:v>
      </x:c>
      <x:c r="I106" s="37" t="str">
        <x:v>Polish-language dark experimentation and local scene formation</x:v>
      </x:c>
      <x:c r="J106" s="37" t="str">
        <x:v>provisional</x:v>
      </x:c>
      <x:c r="K106" s="37" t="str">
        <x:v>metadata_unverified</x:v>
      </x:c>
      <x:c r="L106" s="37" t="str">
        <x:v>soundcloud_unresolved</x:v>
      </x:c>
      <x:c r="M106" s="37" t="str"/>
      <x:c r="N106" s="37" t="str">
        <x:v>Metadata/source audit required</x:v>
      </x:c>
      <x:c r="O106" s="37" t="str">
        <x:v>transnational_or_non_us</x:v>
      </x:c>
      <x:c r="P106" s="37" t="str"/>
      <x:c r="Q106" s="37" t="n">
        <x:v>0</x:v>
      </x:c>
      <x:c r="R106" s="37" t="n">
        <x:v>0</x:v>
      </x:c>
      <x:c r="S106" s="37" t="n">
        <x:v>0</x:v>
      </x:c>
    </x:row>
    <x:row r="107">
      <x:c r="A107" s="36" t="n">
        <x:v>106</x:v>
      </x:c>
      <x:c r="B107" s="36" t="str">
        <x:v>HH06</x:v>
      </x:c>
      <x:c r="C107" s="36" t="n">
        <x:v>1995</x:v>
      </x:c>
      <x:c r="D107" s="37" t="str">
        <x:v>Positive Black Soul</x:v>
      </x:c>
      <x:c r="E107" s="37" t="str">
        <x:v>Boul ma mine</x:v>
      </x:c>
      <x:c r="F107" s="37" t="str">
        <x:v>preferred original version</x:v>
      </x:c>
      <x:c r="G107" s="37" t="str">
        <x:v>Dakar / Senegal</x:v>
      </x:c>
      <x:c r="H107" s="37" t="str">
        <x:v>Senegalese-rap; Wolof/French; political</x:v>
      </x:c>
      <x:c r="I107" s="37" t="str">
        <x:v>West African localization language and social address</x:v>
      </x:c>
      <x:c r="J107" s="37" t="str">
        <x:v>provisional</x:v>
      </x:c>
      <x:c r="K107" s="37" t="str">
        <x:v>metadata_unverified</x:v>
      </x:c>
      <x:c r="L107" s="37" t="str">
        <x:v>soundcloud_unresolved</x:v>
      </x:c>
      <x:c r="M107" s="37" t="str"/>
      <x:c r="N107" s="37" t="str">
        <x:v>Exact spelling version and date verify</x:v>
      </x:c>
      <x:c r="O107" s="37" t="str">
        <x:v>transnational_or_non_us</x:v>
      </x:c>
      <x:c r="P107" s="37" t="str"/>
      <x:c r="Q107" s="37" t="n">
        <x:v>0</x:v>
      </x:c>
      <x:c r="R107" s="37" t="n">
        <x:v>0</x:v>
      </x:c>
      <x:c r="S107" s="37" t="n">
        <x:v>0</x:v>
      </x:c>
    </x:row>
    <x:row r="108">
      <x:c r="A108" s="36" t="n">
        <x:v>107</x:v>
      </x:c>
      <x:c r="B108" s="36" t="str">
        <x:v>HH07</x:v>
      </x:c>
      <x:c r="C108" s="36" t="n">
        <x:v>1996</x:v>
      </x:c>
      <x:c r="D108" s="37" t="str">
        <x:v>The Roots</x:v>
      </x:c>
      <x:c r="E108" s="37" t="str">
        <x:v>What They Do</x:v>
      </x:c>
      <x:c r="F108" s="37" t="str">
        <x:v>original Illadelph Halflife album version</x:v>
      </x:c>
      <x:c r="G108" s="37" t="str">
        <x:v>Philadelphia</x:v>
      </x:c>
      <x:c r="H108" s="37" t="str">
        <x:v>live-band; critique; video</x:v>
      </x:c>
      <x:c r="I108" s="37" t="str">
        <x:v>Critique of commercial performance and video convention</x:v>
      </x:c>
      <x:c r="J108" s="37" t="str">
        <x:v>provisional</x:v>
      </x:c>
      <x:c r="K108" s="37" t="str">
        <x:v>metadata_unverified</x:v>
      </x:c>
      <x:c r="L108" s="37" t="str">
        <x:v>soundcloud_unresolved</x:v>
      </x:c>
      <x:c r="M108" s="37" t="str"/>
      <x:c r="N108" s="37" t="str">
        <x:v>Confirmed Tom recognition anchor; representative may change</x:v>
      </x:c>
      <x:c r="O108" s="37" t="str">
        <x:v>us</x:v>
      </x:c>
      <x:c r="P108" s="37" t="str">
        <x:v>non_mc_role_or_live</x:v>
      </x:c>
      <x:c r="Q108" s="37" t="n">
        <x:v>0</x:v>
      </x:c>
      <x:c r="R108" s="37" t="n">
        <x:v>0</x:v>
      </x:c>
      <x:c r="S108" s="37" t="n">
        <x:v>1</x:v>
      </x:c>
    </x:row>
    <x:row r="109">
      <x:c r="A109" s="36" t="n">
        <x:v>108</x:v>
      </x:c>
      <x:c r="B109" s="36" t="str">
        <x:v>HH07</x:v>
      </x:c>
      <x:c r="C109" s="36" t="n">
        <x:v>1998</x:v>
      </x:c>
      <x:c r="D109" s="37" t="str">
        <x:v>Black Star</x:v>
      </x:c>
      <x:c r="E109" s="37" t="str">
        <x:v>Definition</x:v>
      </x:c>
      <x:c r="F109" s="37" t="str">
        <x:v>original album version</x:v>
      </x:c>
      <x:c r="G109" s="37" t="str">
        <x:v>New York</x:v>
      </x:c>
      <x:c r="H109" s="37" t="str">
        <x:v>lyrical; community; anti-violence</x:v>
      </x:c>
      <x:c r="I109" s="37" t="str">
        <x:v>Lyrical community and anti-violence address</x:v>
      </x:c>
      <x:c r="J109" s="37" t="str">
        <x:v>provisional</x:v>
      </x:c>
      <x:c r="K109" s="37" t="str">
        <x:v>metadata_unverified</x:v>
      </x:c>
      <x:c r="L109" s="37" t="str">
        <x:v>soundcloud_unresolved</x:v>
      </x:c>
      <x:c r="M109" s="37" t="str"/>
      <x:c r="N109" s="37" t="str">
        <x:v>Recognition prompt</x:v>
      </x:c>
      <x:c r="O109" s="37" t="str">
        <x:v>us</x:v>
      </x:c>
      <x:c r="P109" s="37" t="str"/>
      <x:c r="Q109" s="37" t="n">
        <x:v>0</x:v>
      </x:c>
      <x:c r="R109" s="37" t="n">
        <x:v>0</x:v>
      </x:c>
      <x:c r="S109" s="37" t="n">
        <x:v>0</x:v>
      </x:c>
    </x:row>
    <x:row r="110">
      <x:c r="A110" s="36" t="n">
        <x:v>109</x:v>
      </x:c>
      <x:c r="B110" s="36" t="str">
        <x:v>HH07</x:v>
      </x:c>
      <x:c r="C110" s="36" t="n">
        <x:v>2000</x:v>
      </x:c>
      <x:c r="D110" s="37" t="str">
        <x:v>dead prez</x:v>
      </x:c>
      <x:c r="E110" s="37" t="str">
        <x:v>Hip-Hop</x:v>
      </x:c>
      <x:c r="F110" s="37" t="str">
        <x:v>original Let's Get Free album version</x:v>
      </x:c>
      <x:c r="G110" s="37" t="str">
        <x:v>New York</x:v>
      </x:c>
      <x:c r="H110" s="37" t="str">
        <x:v>political; bass; critique</x:v>
      </x:c>
      <x:c r="I110" s="37" t="str">
        <x:v>Political critique delivered through severe low-end economy</x:v>
      </x:c>
      <x:c r="J110" s="37" t="str">
        <x:v>provisional</x:v>
      </x:c>
      <x:c r="K110" s="37" t="str">
        <x:v>metadata_unverified</x:v>
      </x:c>
      <x:c r="L110" s="37" t="str">
        <x:v>soundcloud_unresolved</x:v>
      </x:c>
      <x:c r="M110" s="37" t="str"/>
      <x:c r="N110" s="37" t="str">
        <x:v>Recognition prompt</x:v>
      </x:c>
      <x:c r="O110" s="37" t="str">
        <x:v>us</x:v>
      </x:c>
      <x:c r="P110" s="37" t="str"/>
      <x:c r="Q110" s="37" t="n">
        <x:v>0</x:v>
      </x:c>
      <x:c r="R110" s="37" t="n">
        <x:v>0</x:v>
      </x:c>
      <x:c r="S110" s="37" t="n">
        <x:v>0</x:v>
      </x:c>
    </x:row>
    <x:row r="111">
      <x:c r="A111" s="36" t="n">
        <x:v>110</x:v>
      </x:c>
      <x:c r="B111" s="36" t="str">
        <x:v>HH07</x:v>
      </x:c>
      <x:c r="C111" s="36" t="n">
        <x:v>1998</x:v>
      </x:c>
      <x:c r="D111" s="37" t="str">
        <x:v>Lauryn Hill</x:v>
      </x:c>
      <x:c r="E111" s="37" t="str">
        <x:v>Lost Ones</x:v>
      </x:c>
      <x:c r="F111" s="37" t="str">
        <x:v>original Miseducation album version</x:v>
      </x:c>
      <x:c r="G111" s="37" t="str">
        <x:v>New Jersey</x:v>
      </x:c>
      <x:c r="H111" s="37" t="str">
        <x:v>women; battle; singer-MC</x:v>
      </x:c>
      <x:c r="I111" s="37" t="str">
        <x:v>Battle address arrangement and singer-MC authorship</x:v>
      </x:c>
      <x:c r="J111" s="37" t="str">
        <x:v>provisional</x:v>
      </x:c>
      <x:c r="K111" s="37" t="str">
        <x:v>metadata_unverified</x:v>
      </x:c>
      <x:c r="L111" s="37" t="str">
        <x:v>soundcloud_unresolved</x:v>
      </x:c>
      <x:c r="M111" s="37" t="str"/>
      <x:c r="N111" s="37" t="str">
        <x:v>Canonical</x:v>
      </x:c>
      <x:c r="O111" s="37" t="str">
        <x:v>us</x:v>
      </x:c>
      <x:c r="P111" s="37" t="str">
        <x:v>women</x:v>
      </x:c>
      <x:c r="Q111" s="37" t="n">
        <x:v>1</x:v>
      </x:c>
      <x:c r="R111" s="37" t="n">
        <x:v>0</x:v>
      </x:c>
      <x:c r="S111" s="37" t="n">
        <x:v>0</x:v>
      </x:c>
    </x:row>
    <x:row r="112">
      <x:c r="A112" s="36" t="n">
        <x:v>111</x:v>
      </x:c>
      <x:c r="B112" s="36" t="str">
        <x:v>HH07</x:v>
      </x:c>
      <x:c r="C112" s="36" t="n">
        <x:v>1997</x:v>
      </x:c>
      <x:c r="D112" s="37" t="str">
        <x:v>Missy Elliott</x:v>
      </x:c>
      <x:c r="E112" s="37" t="str">
        <x:v>The Rain (Supa Dupa Fly)</x:v>
      </x:c>
      <x:c r="F112" s="37" t="str">
        <x:v>original album version</x:v>
      </x:c>
      <x:c r="G112" s="37" t="str">
        <x:v>Virginia</x:v>
      </x:c>
      <x:c r="H112" s="37" t="str">
        <x:v>women; Timbaland; experimental-pop</x:v>
      </x:c>
      <x:c r="I112" s="37" t="str">
        <x:v>Timbre negative space video imagination and producer-MC partnership</x:v>
      </x:c>
      <x:c r="J112" s="37" t="str">
        <x:v>provisional</x:v>
      </x:c>
      <x:c r="K112" s="37" t="str">
        <x:v>metadata_unverified</x:v>
      </x:c>
      <x:c r="L112" s="37" t="str">
        <x:v>soundcloud_unresolved</x:v>
      </x:c>
      <x:c r="M112" s="37" t="str"/>
      <x:c r="N112" s="37" t="str">
        <x:v>Canonical</x:v>
      </x:c>
      <x:c r="O112" s="37" t="str">
        <x:v>us</x:v>
      </x:c>
      <x:c r="P112" s="37" t="str">
        <x:v>women</x:v>
      </x:c>
      <x:c r="Q112" s="37" t="n">
        <x:v>1</x:v>
      </x:c>
      <x:c r="R112" s="37" t="n">
        <x:v>0</x:v>
      </x:c>
      <x:c r="S112" s="37" t="n">
        <x:v>0</x:v>
      </x:c>
    </x:row>
    <x:row r="113">
      <x:c r="A113" s="36" t="n">
        <x:v>112</x:v>
      </x:c>
      <x:c r="B113" s="36" t="str">
        <x:v>HH07</x:v>
      </x:c>
      <x:c r="C113" s="36" t="n">
        <x:v>2000</x:v>
      </x:c>
      <x:c r="D113" s="37" t="str">
        <x:v>Eminem featuring Dido</x:v>
      </x:c>
      <x:c r="E113" s="37" t="str">
        <x:v>Stan</x:v>
      </x:c>
      <x:c r="F113" s="37" t="str">
        <x:v>original The Marshall Mathers LP album version</x:v>
      </x:c>
      <x:c r="G113" s="37" t="str">
        <x:v>Detroit</x:v>
      </x:c>
      <x:c r="H113" s="37" t="str">
        <x:v>narrative; correspondence; celebrity</x:v>
      </x:c>
      <x:c r="I113" s="37" t="str">
        <x:v>Epistolary narrative unreliable interpretation and fan-artist distance</x:v>
      </x:c>
      <x:c r="J113" s="37" t="str">
        <x:v>provisional</x:v>
      </x:c>
      <x:c r="K113" s="37" t="str">
        <x:v>metadata_unverified</x:v>
      </x:c>
      <x:c r="L113" s="37" t="str">
        <x:v>soundcloud_unresolved</x:v>
      </x:c>
      <x:c r="M113" s="37" t="str"/>
      <x:c r="N113" s="37" t="str">
        <x:v>Contextualize misogyny and later cultural shorthand</x:v>
      </x:c>
      <x:c r="O113" s="37" t="str">
        <x:v>us</x:v>
      </x:c>
      <x:c r="P113" s="37" t="str"/>
      <x:c r="Q113" s="37" t="n">
        <x:v>0</x:v>
      </x:c>
      <x:c r="R113" s="37" t="n">
        <x:v>0</x:v>
      </x:c>
      <x:c r="S113" s="37" t="n">
        <x:v>0</x:v>
      </x:c>
    </x:row>
    <x:row r="114">
      <x:c r="A114" s="36" t="n">
        <x:v>113</x:v>
      </x:c>
      <x:c r="B114" s="36" t="str">
        <x:v>HH07</x:v>
      </x:c>
      <x:c r="C114" s="36" t="n">
        <x:v>1997</x:v>
      </x:c>
      <x:c r="D114" s="37" t="str">
        <x:v>Company Flow</x:v>
      </x:c>
      <x:c r="E114" s="37" t="str">
        <x:v>8 Steps to Perfection</x:v>
      </x:c>
      <x:c r="F114" s="37" t="str">
        <x:v>original Funcrusher Plus version</x:v>
      </x:c>
      <x:c r="G114" s="37" t="str">
        <x:v>New York</x:v>
      </x:c>
      <x:c r="H114" s="37" t="str">
        <x:v>independent; underground; experimental</x:v>
      </x:c>
      <x:c r="I114" s="37" t="str">
        <x:v>Independent-label counterpublic and abrasive abstraction</x:v>
      </x:c>
      <x:c r="J114" s="37" t="str">
        <x:v>provisional</x:v>
      </x:c>
      <x:c r="K114" s="37" t="str">
        <x:v>metadata_unverified</x:v>
      </x:c>
      <x:c r="L114" s="37" t="str">
        <x:v>soundcloud_unresolved</x:v>
      </x:c>
      <x:c r="M114" s="37" t="str"/>
      <x:c r="N114" s="37" t="str">
        <x:v>Deep-route anchor</x:v>
      </x:c>
      <x:c r="O114" s="37" t="str">
        <x:v>us</x:v>
      </x:c>
      <x:c r="P114" s="37" t="str"/>
      <x:c r="Q114" s="37" t="n">
        <x:v>0</x:v>
      </x:c>
      <x:c r="R114" s="37" t="n">
        <x:v>0</x:v>
      </x:c>
      <x:c r="S114" s="37" t="n">
        <x:v>0</x:v>
      </x:c>
    </x:row>
    <x:row r="115">
      <x:c r="A115" s="36" t="n">
        <x:v>114</x:v>
      </x:c>
      <x:c r="B115" s="36" t="str">
        <x:v>HH07</x:v>
      </x:c>
      <x:c r="C115" s="36" t="n">
        <x:v>1999</x:v>
      </x:c>
      <x:c r="D115" s="37" t="str">
        <x:v>Mos Def</x:v>
      </x:c>
      <x:c r="E115" s="37" t="str">
        <x:v>Mathematics</x:v>
      </x:c>
      <x:c r="F115" s="37" t="str">
        <x:v>original Black on Both Sides album version</x:v>
      </x:c>
      <x:c r="G115" s="37" t="str">
        <x:v>New York</x:v>
      </x:c>
      <x:c r="H115" s="37" t="str">
        <x:v>political; lyrical; DJ-Premier</x:v>
      </x:c>
      <x:c r="I115" s="37" t="str">
        <x:v>Numerical political litany and boom-bap craft</x:v>
      </x:c>
      <x:c r="J115" s="37" t="str">
        <x:v>provisional</x:v>
      </x:c>
      <x:c r="K115" s="37" t="str">
        <x:v>metadata_unverified</x:v>
      </x:c>
      <x:c r="L115" s="37" t="str">
        <x:v>soundcloud_unresolved</x:v>
      </x:c>
      <x:c r="M115" s="37" t="str"/>
      <x:c r="N115" s="37" t="str">
        <x:v>Likely Tom route</x:v>
      </x:c>
      <x:c r="O115" s="37" t="str">
        <x:v>us</x:v>
      </x:c>
      <x:c r="P115" s="37" t="str">
        <x:v>non_mc_role_or_live</x:v>
      </x:c>
      <x:c r="Q115" s="37" t="n">
        <x:v>0</x:v>
      </x:c>
      <x:c r="R115" s="37" t="n">
        <x:v>0</x:v>
      </x:c>
      <x:c r="S115" s="37" t="n">
        <x:v>1</x:v>
      </x:c>
    </x:row>
    <x:row r="116">
      <x:c r="A116" s="36" t="n">
        <x:v>115</x:v>
      </x:c>
      <x:c r="B116" s="36" t="str">
        <x:v>HH07</x:v>
      </x:c>
      <x:c r="C116" s="36" t="n">
        <x:v>1999</x:v>
      </x:c>
      <x:c r="D116" s="37" t="str">
        <x:v>MF DOOM</x:v>
      </x:c>
      <x:c r="E116" s="37" t="str">
        <x:v>Doomsday</x:v>
      </x:c>
      <x:c r="F116" s="37" t="str">
        <x:v>original Operation: Doomsday version</x:v>
      </x:c>
      <x:c r="G116" s="37" t="str">
        <x:v>New York</x:v>
      </x:c>
      <x:c r="H116" s="37" t="str">
        <x:v>abstract; persona; independent</x:v>
      </x:c>
      <x:c r="I116" s="37" t="str">
        <x:v>Mask persona collage humor and independent rebirth</x:v>
      </x:c>
      <x:c r="J116" s="37" t="str">
        <x:v>provisional</x:v>
      </x:c>
      <x:c r="K116" s="37" t="str">
        <x:v>metadata_unverified</x:v>
      </x:c>
      <x:c r="L116" s="37" t="str">
        <x:v>soundcloud_unresolved</x:v>
      </x:c>
      <x:c r="M116" s="37" t="str"/>
      <x:c r="N116" s="37" t="str">
        <x:v>Original Fondle 'Em master preferred</x:v>
      </x:c>
      <x:c r="O116" s="37" t="str">
        <x:v>us</x:v>
      </x:c>
      <x:c r="P116" s="37" t="str"/>
      <x:c r="Q116" s="37" t="n">
        <x:v>0</x:v>
      </x:c>
      <x:c r="R116" s="37" t="n">
        <x:v>0</x:v>
      </x:c>
      <x:c r="S116" s="37" t="n">
        <x:v>0</x:v>
      </x:c>
    </x:row>
    <x:row r="117">
      <x:c r="A117" s="36" t="n">
        <x:v>116</x:v>
      </x:c>
      <x:c r="B117" s="36" t="str">
        <x:v>HH07</x:v>
      </x:c>
      <x:c r="C117" s="36" t="n">
        <x:v>2000</x:v>
      </x:c>
      <x:c r="D117" s="37" t="str">
        <x:v>Rah Digga</x:v>
      </x:c>
      <x:c r="E117" s="37" t="str">
        <x:v>Tight</x:v>
      </x:c>
      <x:c r="F117" s="37" t="str">
        <x:v>original Dirty Harriet album version</x:v>
      </x:c>
      <x:c r="G117" s="37" t="str">
        <x:v>New Jersey / New York</x:v>
      </x:c>
      <x:c r="H117" s="37" t="str">
        <x:v>women; lyrical; Flipmode</x:v>
      </x:c>
      <x:c r="I117" s="37" t="str">
        <x:v>Technical woman MC authority inside late-1990s crew and album systems</x:v>
      </x:c>
      <x:c r="J117" s="37" t="str">
        <x:v>provisional</x:v>
      </x:c>
      <x:c r="K117" s="37" t="str">
        <x:v>metadata_unverified</x:v>
      </x:c>
      <x:c r="L117" s="37" t="str">
        <x:v>soundcloud_unresolved</x:v>
      </x:c>
      <x:c r="M117" s="37" t="str"/>
      <x:c r="N117" s="37" t="str">
        <x:v>Version verify</x:v>
      </x:c>
      <x:c r="O117" s="37" t="str">
        <x:v>us</x:v>
      </x:c>
      <x:c r="P117" s="37" t="str">
        <x:v>women</x:v>
      </x:c>
      <x:c r="Q117" s="37" t="n">
        <x:v>1</x:v>
      </x:c>
      <x:c r="R117" s="37" t="n">
        <x:v>0</x:v>
      </x:c>
      <x:c r="S117" s="37" t="n">
        <x:v>0</x:v>
      </x:c>
    </x:row>
    <x:row r="118">
      <x:c r="A118" s="36" t="n">
        <x:v>117</x:v>
      </x:c>
      <x:c r="B118" s="36" t="str">
        <x:v>HH07</x:v>
      </x:c>
      <x:c r="C118" s="36" t="n">
        <x:v>1998</x:v>
      </x:c>
      <x:c r="D118" s="37" t="str">
        <x:v>Gang Starr</x:v>
      </x:c>
      <x:c r="E118" s="37" t="str">
        <x:v>Moment of Truth</x:v>
      </x:c>
      <x:c r="F118" s="37" t="str">
        <x:v>original album version</x:v>
      </x:c>
      <x:c r="G118" s="37" t="str">
        <x:v>New York</x:v>
      </x:c>
      <x:c r="H118" s="37" t="str">
        <x:v>lyrical; boom-bap; reflection</x:v>
      </x:c>
      <x:c r="I118" s="37" t="str">
        <x:v>Mature moral reflection within a classic duo grammar</x:v>
      </x:c>
      <x:c r="J118" s="37" t="str">
        <x:v>provisional</x:v>
      </x:c>
      <x:c r="K118" s="37" t="str">
        <x:v>metadata_unverified</x:v>
      </x:c>
      <x:c r="L118" s="37" t="str">
        <x:v>soundcloud_unresolved</x:v>
      </x:c>
      <x:c r="M118" s="37" t="str"/>
      <x:c r="N118" s="37" t="str">
        <x:v>Potential Tom anchor</x:v>
      </x:c>
      <x:c r="O118" s="37" t="str">
        <x:v>us</x:v>
      </x:c>
      <x:c r="P118" s="37" t="str"/>
      <x:c r="Q118" s="37" t="n">
        <x:v>0</x:v>
      </x:c>
      <x:c r="R118" s="37" t="n">
        <x:v>0</x:v>
      </x:c>
      <x:c r="S118" s="37" t="n">
        <x:v>0</x:v>
      </x:c>
    </x:row>
    <x:row r="119">
      <x:c r="A119" s="36" t="n">
        <x:v>118</x:v>
      </x:c>
      <x:c r="B119" s="36" t="str">
        <x:v>HH07</x:v>
      </x:c>
      <x:c r="C119" s="36" t="n">
        <x:v>1996</x:v>
      </x:c>
      <x:c r="D119" s="37" t="str">
        <x:v>DJ Shadow</x:v>
      </x:c>
      <x:c r="E119" s="37" t="str">
        <x:v>Midnight in a Perfect World</x:v>
      </x:c>
      <x:c r="F119" s="37" t="str">
        <x:v>original Endtroducing album version</x:v>
      </x:c>
      <x:c r="G119" s="37" t="str">
        <x:v>Bay Area</x:v>
      </x:c>
      <x:c r="H119" s="37" t="str">
        <x:v>instrumental; sampling; producer</x:v>
      </x:c>
      <x:c r="I119" s="37" t="str">
        <x:v>Instrumental hip-hop as album-scale emotional composition</x:v>
      </x:c>
      <x:c r="J119" s="37" t="str">
        <x:v>provisional</x:v>
      </x:c>
      <x:c r="K119" s="37" t="str">
        <x:v>metadata_unverified</x:v>
      </x:c>
      <x:c r="L119" s="37" t="str">
        <x:v>soundcloud_unresolved</x:v>
      </x:c>
      <x:c r="M119" s="37" t="str"/>
      <x:c r="N119" s="37" t="str">
        <x:v>Canonical producer route</x:v>
      </x:c>
      <x:c r="O119" s="37" t="str">
        <x:v>us</x:v>
      </x:c>
      <x:c r="P119" s="37" t="str">
        <x:v>non_mc_role_or_live</x:v>
      </x:c>
      <x:c r="Q119" s="37" t="n">
        <x:v>0</x:v>
      </x:c>
      <x:c r="R119" s="37" t="n">
        <x:v>0</x:v>
      </x:c>
      <x:c r="S119" s="37" t="n">
        <x:v>1</x:v>
      </x:c>
    </x:row>
    <x:row r="120">
      <x:c r="A120" s="36" t="n">
        <x:v>119</x:v>
      </x:c>
      <x:c r="B120" s="36" t="str">
        <x:v>HH07</x:v>
      </x:c>
      <x:c r="C120" s="36" t="n">
        <x:v>1996</x:v>
      </x:c>
      <x:c r="D120" s="37" t="str">
        <x:v>Invisibl Skratch Piklz</x:v>
      </x:c>
      <x:c r="E120" s="37" t="str">
        <x:v>Invasion of the Octopus People</x:v>
      </x:c>
      <x:c r="F120" s="37" t="str">
        <x:v>original version</x:v>
      </x:c>
      <x:c r="G120" s="37" t="str">
        <x:v>Bay Area</x:v>
      </x:c>
      <x:c r="H120" s="37" t="str">
        <x:v>turntablism; DJ; experimental</x:v>
      </x:c>
      <x:c r="I120" s="37" t="str">
        <x:v>Turntablism as foreground group composition</x:v>
      </x:c>
      <x:c r="J120" s="37" t="str">
        <x:v>provisional</x:v>
      </x:c>
      <x:c r="K120" s="37" t="str">
        <x:v>metadata_unverified</x:v>
      </x:c>
      <x:c r="L120" s="37" t="str">
        <x:v>soundcloud_unresolved</x:v>
      </x:c>
      <x:c r="M120" s="37" t="str"/>
      <x:c r="N120" s="37" t="str">
        <x:v>Exact release metadata verify</x:v>
      </x:c>
      <x:c r="O120" s="37" t="str">
        <x:v>us</x:v>
      </x:c>
      <x:c r="P120" s="37" t="str">
        <x:v>non_mc_role_or_live</x:v>
      </x:c>
      <x:c r="Q120" s="37" t="n">
        <x:v>0</x:v>
      </x:c>
      <x:c r="R120" s="37" t="n">
        <x:v>0</x:v>
      </x:c>
      <x:c r="S120" s="37" t="n">
        <x:v>1</x:v>
      </x:c>
    </x:row>
    <x:row r="121">
      <x:c r="A121" s="36" t="n">
        <x:v>120</x:v>
      </x:c>
      <x:c r="B121" s="36" t="str">
        <x:v>HH07</x:v>
      </x:c>
      <x:c r="C121" s="36" t="n">
        <x:v>1998</x:v>
      </x:c>
      <x:c r="D121" s="37" t="str">
        <x:v>DMX</x:v>
      </x:c>
      <x:c r="E121" s="37" t="str">
        <x:v>Ruff Ryders' Anthem</x:v>
      </x:c>
      <x:c r="F121" s="37" t="str">
        <x:v>original It's Dark and Hell Is Hot album version</x:v>
      </x:c>
      <x:c r="G121" s="37" t="str">
        <x:v>Yonkers / New York</x:v>
      </x:c>
      <x:c r="H121" s="37" t="str">
        <x:v>hardcore; Swizz-Beatz; crowd-command</x:v>
      </x:c>
      <x:c r="I121" s="37" t="str">
        <x:v>Austere synthesizer anthem and late-1990s street-rap intensity</x:v>
      </x:c>
      <x:c r="J121" s="37" t="str">
        <x:v>provisional</x:v>
      </x:c>
      <x:c r="K121" s="37" t="str">
        <x:v>metadata_unverified</x:v>
      </x:c>
      <x:c r="L121" s="37" t="str">
        <x:v>soundcloud_unresolved</x:v>
      </x:c>
      <x:c r="M121" s="37" t="str"/>
      <x:c r="N121" s="37" t="str">
        <x:v>Album master verify</x:v>
      </x:c>
      <x:c r="O121" s="37" t="str">
        <x:v>us</x:v>
      </x:c>
      <x:c r="P121" s="37" t="str"/>
      <x:c r="Q121" s="37" t="n">
        <x:v>0</x:v>
      </x:c>
      <x:c r="R121" s="37" t="n">
        <x:v>0</x:v>
      </x:c>
      <x:c r="S121" s="37" t="n">
        <x:v>0</x:v>
      </x:c>
    </x:row>
    <x:row r="122">
      <x:c r="A122" s="36" t="n">
        <x:v>121</x:v>
      </x:c>
      <x:c r="B122" s="36" t="str">
        <x:v>HH07</x:v>
      </x:c>
      <x:c r="C122" s="36" t="n">
        <x:v>1998</x:v>
      </x:c>
      <x:c r="D122" s="37" t="str">
        <x:v>Outkast</x:v>
      </x:c>
      <x:c r="E122" s="37" t="str">
        <x:v>Rosa Parks</x:v>
      </x:c>
      <x:c r="F122" s="37" t="str">
        <x:v>original Aquemini album version</x:v>
      </x:c>
      <x:c r="G122" s="37" t="str">
        <x:v>Atlanta</x:v>
      </x:c>
      <x:c r="H122" s="37" t="str">
        <x:v>Southern; live-instruments; form</x:v>
      </x:c>
      <x:c r="I122" s="37" t="str">
        <x:v>Sectional arrangement harmonica and Atlanta expansion</x:v>
      </x:c>
      <x:c r="J122" s="37" t="str">
        <x:v>provisional</x:v>
      </x:c>
      <x:c r="K122" s="37" t="str">
        <x:v>metadata_unverified</x:v>
      </x:c>
      <x:c r="L122" s="37" t="str">
        <x:v>soundcloud_unresolved</x:v>
      </x:c>
      <x:c r="M122" s="37" t="str"/>
      <x:c r="N122" s="37" t="str">
        <x:v>Canonical</x:v>
      </x:c>
      <x:c r="O122" s="37" t="str">
        <x:v>us</x:v>
      </x:c>
      <x:c r="P122" s="37" t="str">
        <x:v>non_mc_role_or_live</x:v>
      </x:c>
      <x:c r="Q122" s="37" t="n">
        <x:v>0</x:v>
      </x:c>
      <x:c r="R122" s="37" t="n">
        <x:v>0</x:v>
      </x:c>
      <x:c r="S122" s="37" t="n">
        <x:v>1</x:v>
      </x:c>
    </x:row>
    <x:row r="123">
      <x:c r="A123" s="36" t="n">
        <x:v>122</x:v>
      </x:c>
      <x:c r="B123" s="36" t="str">
        <x:v>HH07</x:v>
      </x:c>
      <x:c r="C123" s="36" t="n">
        <x:v>1998</x:v>
      </x:c>
      <x:c r="D123" s="37" t="str">
        <x:v>Juvenile</x:v>
      </x:c>
      <x:c r="E123" s="37" t="str">
        <x:v>Ha</x:v>
      </x:c>
      <x:c r="F123" s="37" t="str">
        <x:v>original 400 Degreez album version</x:v>
      </x:c>
      <x:c r="G123" s="37" t="str">
        <x:v>New Orleans</x:v>
      </x:c>
      <x:c r="H123" s="37" t="str">
        <x:v>Cash-Money; Mannie-Fresh; flow</x:v>
      </x:c>
      <x:c r="I123" s="37" t="str">
        <x:v>Second-person repetition and New Orleans producer system</x:v>
      </x:c>
      <x:c r="J123" s="37" t="str">
        <x:v>provisional</x:v>
      </x:c>
      <x:c r="K123" s="37" t="str">
        <x:v>metadata_unverified</x:v>
      </x:c>
      <x:c r="L123" s="37" t="str">
        <x:v>soundcloud_unresolved</x:v>
      </x:c>
      <x:c r="M123" s="37" t="str"/>
      <x:c r="N123" s="37" t="str">
        <x:v>Canonical</x:v>
      </x:c>
      <x:c r="O123" s="37" t="str">
        <x:v>us</x:v>
      </x:c>
      <x:c r="P123" s="37" t="str"/>
      <x:c r="Q123" s="37" t="n">
        <x:v>0</x:v>
      </x:c>
      <x:c r="R123" s="37" t="n">
        <x:v>0</x:v>
      </x:c>
      <x:c r="S123" s="37" t="n">
        <x:v>0</x:v>
      </x:c>
    </x:row>
    <x:row r="124">
      <x:c r="A124" s="36" t="n">
        <x:v>123</x:v>
      </x:c>
      <x:c r="B124" s="36" t="str">
        <x:v>HH07</x:v>
      </x:c>
      <x:c r="C124" s="36" t="n">
        <x:v>1997</x:v>
      </x:c>
      <x:c r="D124" s="37" t="str">
        <x:v>Master P featuring Fiend Mia X Mystikal and Silkk the Shocker</x:v>
      </x:c>
      <x:c r="E124" s="37" t="str">
        <x:v>Make 'Em Say Uhh!</x:v>
      </x:c>
      <x:c r="F124" s="37" t="str">
        <x:v>original Ghetto D album version</x:v>
      </x:c>
      <x:c r="G124" s="37" t="str">
        <x:v>New Orleans</x:v>
      </x:c>
      <x:c r="H124" s="37" t="str">
        <x:v>No-Limit; independent-business; posse-cut</x:v>
      </x:c>
      <x:c r="I124" s="37" t="str">
        <x:v>No Limit's regional business system and roster-centered anthem</x:v>
      </x:c>
      <x:c r="J124" s="37" t="str">
        <x:v>provisional</x:v>
      </x:c>
      <x:c r="K124" s="37" t="str">
        <x:v>metadata_unverified</x:v>
      </x:c>
      <x:c r="L124" s="37" t="str">
        <x:v>soundcloud_unresolved</x:v>
      </x:c>
      <x:c r="M124" s="37" t="str"/>
      <x:c r="N124" s="37" t="str">
        <x:v>Full feature credits and punctuation verify</x:v>
      </x:c>
      <x:c r="O124" s="37" t="str">
        <x:v>us</x:v>
      </x:c>
      <x:c r="P124" s="37" t="str"/>
      <x:c r="Q124" s="37" t="n">
        <x:v>0</x:v>
      </x:c>
      <x:c r="R124" s="37" t="n">
        <x:v>0</x:v>
      </x:c>
      <x:c r="S124" s="37" t="n">
        <x:v>0</x:v>
      </x:c>
    </x:row>
    <x:row r="125">
      <x:c r="A125" s="36" t="n">
        <x:v>124</x:v>
      </x:c>
      <x:c r="B125" s="36" t="str">
        <x:v>HH07</x:v>
      </x:c>
      <x:c r="C125" s="36" t="n">
        <x:v>1997</x:v>
      </x:c>
      <x:c r="D125" s="37" t="str">
        <x:v>IAM</x:v>
      </x:c>
      <x:c r="E125" s="37" t="str">
        <x:v>Demain c'est loin</x:v>
      </x:c>
      <x:c r="F125" s="37" t="str">
        <x:v>original L'École du micro d'argent album version</x:v>
      </x:c>
      <x:c r="G125" s="37" t="str">
        <x:v>Marseille / France</x:v>
      </x:c>
      <x:c r="H125" s="37" t="str">
        <x:v>French-rap; long-form; social-reportage</x:v>
      </x:c>
      <x:c r="I125" s="37" t="str">
        <x:v>Long-form social panorama without conventional chorus</x:v>
      </x:c>
      <x:c r="J125" s="37" t="str">
        <x:v>provisional</x:v>
      </x:c>
      <x:c r="K125" s="37" t="str">
        <x:v>metadata_unverified</x:v>
      </x:c>
      <x:c r="L125" s="37" t="str">
        <x:v>soundcloud_unresolved</x:v>
      </x:c>
      <x:c r="M125" s="37" t="str"/>
      <x:c r="N125" s="37" t="str">
        <x:v>Connoisseur anchor</x:v>
      </x:c>
      <x:c r="O125" s="37" t="str">
        <x:v>transnational_or_non_us</x:v>
      </x:c>
      <x:c r="P125" s="37" t="str"/>
      <x:c r="Q125" s="37" t="n">
        <x:v>0</x:v>
      </x:c>
      <x:c r="R125" s="37" t="n">
        <x:v>0</x:v>
      </x:c>
      <x:c r="S125" s="37" t="n">
        <x:v>0</x:v>
      </x:c>
    </x:row>
    <x:row r="126">
      <x:c r="A126" s="36" t="n">
        <x:v>125</x:v>
      </x:c>
      <x:c r="B126" s="36" t="str">
        <x:v>HH07</x:v>
      </x:c>
      <x:c r="C126" s="36" t="n">
        <x:v>1997</x:v>
      </x:c>
      <x:c r="D126" s="37" t="str">
        <x:v>Control Machete</x:v>
      </x:c>
      <x:c r="E126" s="37" t="str">
        <x:v>¿Comprendes Mendes?</x:v>
      </x:c>
      <x:c r="F126" s="37" t="str">
        <x:v>original Mucho Barato version</x:v>
      </x:c>
      <x:c r="G126" s="37" t="str">
        <x:v>Monterrey / Mexico</x:v>
      </x:c>
      <x:c r="H126" s="37" t="str">
        <x:v>Mexican-rap; Spanish-language; rock-exchange</x:v>
      </x:c>
      <x:c r="I126" s="37" t="str">
        <x:v>Northern Mexican scene identity and Spanish-language rhythmic force</x:v>
      </x:c>
      <x:c r="J126" s="37" t="str">
        <x:v>provisional</x:v>
      </x:c>
      <x:c r="K126" s="37" t="str">
        <x:v>metadata_unverified</x:v>
      </x:c>
      <x:c r="L126" s="37" t="str">
        <x:v>soundcloud_unresolved</x:v>
      </x:c>
      <x:c r="M126" s="37" t="str"/>
      <x:c r="N126" s="37" t="str">
        <x:v>Punctuation and version verify</x:v>
      </x:c>
      <x:c r="O126" s="37" t="str">
        <x:v>transnational_or_non_us</x:v>
      </x:c>
      <x:c r="P126" s="37" t="str"/>
      <x:c r="Q126" s="37" t="n">
        <x:v>0</x:v>
      </x:c>
      <x:c r="R126" s="37" t="n">
        <x:v>0</x:v>
      </x:c>
      <x:c r="S126" s="37" t="n">
        <x:v>0</x:v>
      </x:c>
    </x:row>
    <x:row r="127">
      <x:c r="A127" s="36" t="n">
        <x:v>126</x:v>
      </x:c>
      <x:c r="B127" s="36" t="str">
        <x:v>HH07</x:v>
      </x:c>
      <x:c r="C127" s="36" t="n">
        <x:v>1997</x:v>
      </x:c>
      <x:c r="D127" s="37" t="str">
        <x:v>Racionais MC's</x:v>
      </x:c>
      <x:c r="E127" s="37" t="str">
        <x:v>Diário de um Detento</x:v>
      </x:c>
      <x:c r="F127" s="37" t="str">
        <x:v>original Sobrevivendo no Inferno version</x:v>
      </x:c>
      <x:c r="G127" s="37" t="str">
        <x:v>São Paulo / Brazil</x:v>
      </x:c>
      <x:c r="H127" s="37" t="str">
        <x:v>Brazilian-rap; prison; political</x:v>
      </x:c>
      <x:c r="I127" s="37" t="str">
        <x:v>Carandiru prison narrative and collective memory</x:v>
      </x:c>
      <x:c r="J127" s="37" t="str">
        <x:v>provisional</x:v>
      </x:c>
      <x:c r="K127" s="37" t="str">
        <x:v>metadata_unverified</x:v>
      </x:c>
      <x:c r="L127" s="37" t="str">
        <x:v>soundcloud_unresolved</x:v>
      </x:c>
      <x:c r="M127" s="37" t="str"/>
      <x:c r="N127" s="37" t="str">
        <x:v>Context and translation notes required</x:v>
      </x:c>
      <x:c r="O127" s="37" t="str">
        <x:v>transnational_or_non_us</x:v>
      </x:c>
      <x:c r="P127" s="37" t="str"/>
      <x:c r="Q127" s="37" t="n">
        <x:v>0</x:v>
      </x:c>
      <x:c r="R127" s="37" t="n">
        <x:v>0</x:v>
      </x:c>
      <x:c r="S127" s="37" t="n">
        <x:v>0</x:v>
      </x:c>
    </x:row>
    <x:row r="128">
      <x:c r="A128" s="36" t="n">
        <x:v>127</x:v>
      </x:c>
      <x:c r="B128" s="36" t="str">
        <x:v>HH07</x:v>
      </x:c>
      <x:c r="C128" s="36" t="n">
        <x:v>1999</x:v>
      </x:c>
      <x:c r="D128" s="37" t="str">
        <x:v>Roots Manuva</x:v>
      </x:c>
      <x:c r="E128" s="37" t="str">
        <x:v>Juggle Tings Proper</x:v>
      </x:c>
      <x:c r="F128" s="37" t="str">
        <x:v>original Brand New Second Hand version</x:v>
      </x:c>
      <x:c r="G128" s="37" t="str">
        <x:v>London / United Kingdom</x:v>
      </x:c>
      <x:c r="H128" s="37" t="str">
        <x:v>UK-rap; Caribbean-British; bass</x:v>
      </x:c>
      <x:c r="I128" s="37" t="str">
        <x:v>Distinct British voice and bass-heavy production</x:v>
      </x:c>
      <x:c r="J128" s="37" t="str">
        <x:v>provisional</x:v>
      </x:c>
      <x:c r="K128" s="37" t="str">
        <x:v>metadata_unverified</x:v>
      </x:c>
      <x:c r="L128" s="37" t="str">
        <x:v>soundcloud_unresolved</x:v>
      </x:c>
      <x:c r="M128" s="37" t="str"/>
      <x:c r="N128" s="37" t="str">
        <x:v>Verify version</x:v>
      </x:c>
      <x:c r="O128" s="37" t="str">
        <x:v>transnational_or_non_us</x:v>
      </x:c>
      <x:c r="P128" s="37" t="str"/>
      <x:c r="Q128" s="37" t="n">
        <x:v>0</x:v>
      </x:c>
      <x:c r="R128" s="37" t="n">
        <x:v>0</x:v>
      </x:c>
      <x:c r="S128" s="37" t="n">
        <x:v>0</x:v>
      </x:c>
    </x:row>
    <x:row r="129">
      <x:c r="A129" s="36" t="n">
        <x:v>128</x:v>
      </x:c>
      <x:c r="B129" s="36" t="str">
        <x:v>HH07</x:v>
      </x:c>
      <x:c r="C129" s="36" t="n">
        <x:v>1997</x:v>
      </x:c>
      <x:c r="D129" s="37" t="str">
        <x:v>Positive Black Soul</x:v>
      </x:c>
      <x:c r="E129" s="37" t="str">
        <x:v>New York / Dakar</x:v>
      </x:c>
      <x:c r="F129" s="37" t="str">
        <x:v>original version</x:v>
      </x:c>
      <x:c r="G129" s="37" t="str">
        <x:v>Dakar / Senegal</x:v>
      </x:c>
      <x:c r="H129" s="37" t="str">
        <x:v>Senegalese-rap; transatlantic; bilingual</x:v>
      </x:c>
      <x:c r="I129" s="37" t="str">
        <x:v>Explicit two-city global circuit and local identity</x:v>
      </x:c>
      <x:c r="J129" s="37" t="str">
        <x:v>provisional</x:v>
      </x:c>
      <x:c r="K129" s="37" t="str">
        <x:v>metadata_unverified</x:v>
      </x:c>
      <x:c r="L129" s="37" t="str">
        <x:v>soundcloud_unresolved</x:v>
      </x:c>
      <x:c r="M129" s="37" t="str"/>
      <x:c r="N129" s="37" t="str">
        <x:v>Exact release and language metadata verify</x:v>
      </x:c>
      <x:c r="O129" s="37" t="str">
        <x:v>transnational_or_non_us</x:v>
      </x:c>
      <x:c r="P129" s="37" t="str"/>
      <x:c r="Q129" s="37" t="n">
        <x:v>0</x:v>
      </x:c>
      <x:c r="R129" s="37" t="n">
        <x:v>0</x:v>
      </x:c>
      <x:c r="S129" s="37" t="n">
        <x:v>0</x:v>
      </x:c>
    </x:row>
    <x:row r="130">
      <x:c r="A130" s="36" t="n">
        <x:v>129</x:v>
      </x:c>
      <x:c r="B130" s="36" t="str">
        <x:v>HH08</x:v>
      </x:c>
      <x:c r="C130" s="36" t="n">
        <x:v>2001</x:v>
      </x:c>
      <x:c r="D130" s="37" t="str">
        <x:v>Jay-Z</x:v>
      </x:c>
      <x:c r="E130" s="37" t="str">
        <x:v>U Don't Know</x:v>
      </x:c>
      <x:c r="F130" s="37" t="str">
        <x:v>original The Blueprint album version</x:v>
      </x:c>
      <x:c r="G130" s="37" t="str">
        <x:v>New York</x:v>
      </x:c>
      <x:c r="H130" s="37" t="str">
        <x:v>Just-Blaze; soul-sampling; persona</x:v>
      </x:c>
      <x:c r="I130" s="37" t="str">
        <x:v>Just Blaze maximal soul production and command</x:v>
      </x:c>
      <x:c r="J130" s="37" t="str">
        <x:v>provisional</x:v>
      </x:c>
      <x:c r="K130" s="37" t="str">
        <x:v>metadata_unverified</x:v>
      </x:c>
      <x:c r="L130" s="37" t="str">
        <x:v>soundcloud_unresolved</x:v>
      </x:c>
      <x:c r="M130" s="37" t="str"/>
      <x:c r="N130" s="37" t="str">
        <x:v>Canonical</x:v>
      </x:c>
      <x:c r="O130" s="37" t="str">
        <x:v>us</x:v>
      </x:c>
      <x:c r="P130" s="37" t="str"/>
      <x:c r="Q130" s="37" t="n">
        <x:v>0</x:v>
      </x:c>
      <x:c r="R130" s="37" t="n">
        <x:v>0</x:v>
      </x:c>
      <x:c r="S130" s="37" t="n">
        <x:v>0</x:v>
      </x:c>
    </x:row>
    <x:row r="131">
      <x:c r="A131" s="36" t="n">
        <x:v>130</x:v>
      </x:c>
      <x:c r="B131" s="36" t="str">
        <x:v>HH08</x:v>
      </x:c>
      <x:c r="C131" s="36" t="n">
        <x:v>2002</x:v>
      </x:c>
      <x:c r="D131" s="37" t="str">
        <x:v>Clipse</x:v>
      </x:c>
      <x:c r="E131" s="37" t="str">
        <x:v>Grindin'</x:v>
      </x:c>
      <x:c r="F131" s="37" t="str">
        <x:v>original Lord Willin' album version</x:v>
      </x:c>
      <x:c r="G131" s="37" t="str">
        <x:v>Virginia</x:v>
      </x:c>
      <x:c r="H131" s="37" t="str">
        <x:v>Neptunes; minimal; street</x:v>
      </x:c>
      <x:c r="I131" s="37" t="str">
        <x:v>Percussion-only negative space and Tidewater producer power</x:v>
      </x:c>
      <x:c r="J131" s="37" t="str">
        <x:v>provisional</x:v>
      </x:c>
      <x:c r="K131" s="37" t="str">
        <x:v>metadata_unverified</x:v>
      </x:c>
      <x:c r="L131" s="37" t="str">
        <x:v>soundcloud_unresolved</x:v>
      </x:c>
      <x:c r="M131" s="37" t="str"/>
      <x:c r="N131" s="37" t="str">
        <x:v>Canonical</x:v>
      </x:c>
      <x:c r="O131" s="37" t="str">
        <x:v>us</x:v>
      </x:c>
      <x:c r="P131" s="37" t="str"/>
      <x:c r="Q131" s="37" t="n">
        <x:v>0</x:v>
      </x:c>
      <x:c r="R131" s="37" t="n">
        <x:v>0</x:v>
      </x:c>
      <x:c r="S131" s="37" t="n">
        <x:v>0</x:v>
      </x:c>
    </x:row>
    <x:row r="132">
      <x:c r="A132" s="36" t="n">
        <x:v>131</x:v>
      </x:c>
      <x:c r="B132" s="36" t="str">
        <x:v>HH08</x:v>
      </x:c>
      <x:c r="C132" s="36" t="n">
        <x:v>2002</x:v>
      </x:c>
      <x:c r="D132" s="37" t="str">
        <x:v>Missy Elliott</x:v>
      </x:c>
      <x:c r="E132" s="37" t="str">
        <x:v>Work It</x:v>
      </x:c>
      <x:c r="F132" s="37" t="str">
        <x:v>original Under Construction album version</x:v>
      </x:c>
      <x:c r="G132" s="37" t="str">
        <x:v>Virginia</x:v>
      </x:c>
      <x:c r="H132" s="37" t="str">
        <x:v>women; Timbaland; reverse-vocal; pop</x:v>
      </x:c>
      <x:c r="I132" s="37" t="str">
        <x:v>Dense vocal production humor and formal play</x:v>
      </x:c>
      <x:c r="J132" s="37" t="str">
        <x:v>provisional</x:v>
      </x:c>
      <x:c r="K132" s="37" t="str">
        <x:v>metadata_unverified</x:v>
      </x:c>
      <x:c r="L132" s="37" t="str">
        <x:v>soundcloud_unresolved</x:v>
      </x:c>
      <x:c r="M132" s="37" t="str"/>
      <x:c r="N132" s="37" t="str">
        <x:v>Canonical</x:v>
      </x:c>
      <x:c r="O132" s="37" t="str">
        <x:v>us</x:v>
      </x:c>
      <x:c r="P132" s="37" t="str">
        <x:v>women</x:v>
      </x:c>
      <x:c r="Q132" s="37" t="n">
        <x:v>1</x:v>
      </x:c>
      <x:c r="R132" s="37" t="n">
        <x:v>0</x:v>
      </x:c>
      <x:c r="S132" s="37" t="n">
        <x:v>0</x:v>
      </x:c>
    </x:row>
    <x:row r="133">
      <x:c r="A133" s="36" t="n">
        <x:v>132</x:v>
      </x:c>
      <x:c r="B133" s="36" t="str">
        <x:v>HH08</x:v>
      </x:c>
      <x:c r="C133" s="36" t="n">
        <x:v>2002</x:v>
      </x:c>
      <x:c r="D133" s="37" t="str">
        <x:v>Lil Jon &amp; the East Side Boyz featuring Ying Yang Twins</x:v>
      </x:c>
      <x:c r="E133" s="37" t="str">
        <x:v>Get Low</x:v>
      </x:c>
      <x:c r="F133" s="37" t="str">
        <x:v>original Kings of Crunk album version</x:v>
      </x:c>
      <x:c r="G133" s="37" t="str">
        <x:v>Atlanta</x:v>
      </x:c>
      <x:c r="H133" s="37" t="str">
        <x:v>crunk; crowd-command; dance</x:v>
      </x:c>
      <x:c r="I133" s="37" t="str">
        <x:v>Crunk arrangement and collective physical instruction</x:v>
      </x:c>
      <x:c r="J133" s="37" t="str">
        <x:v>provisional</x:v>
      </x:c>
      <x:c r="K133" s="37" t="str">
        <x:v>metadata_unverified</x:v>
      </x:c>
      <x:c r="L133" s="37" t="str">
        <x:v>soundcloud_unresolved</x:v>
      </x:c>
      <x:c r="M133" s="37" t="str"/>
      <x:c r="N133" s="37" t="str">
        <x:v>Explicit; verify feature spelling</x:v>
      </x:c>
      <x:c r="O133" s="37" t="str">
        <x:v>us</x:v>
      </x:c>
      <x:c r="P133" s="37" t="str"/>
      <x:c r="Q133" s="37" t="n">
        <x:v>0</x:v>
      </x:c>
      <x:c r="R133" s="37" t="n">
        <x:v>0</x:v>
      </x:c>
      <x:c r="S133" s="37" t="n">
        <x:v>0</x:v>
      </x:c>
    </x:row>
    <x:row r="134">
      <x:c r="A134" s="36" t="n">
        <x:v>133</x:v>
      </x:c>
      <x:c r="B134" s="36" t="str">
        <x:v>HH08</x:v>
      </x:c>
      <x:c r="C134" s="36" t="n">
        <x:v>2003</x:v>
      </x:c>
      <x:c r="D134" s="37" t="str">
        <x:v>T.I.</x:v>
      </x:c>
      <x:c r="E134" s="37" t="str">
        <x:v>24's</x:v>
      </x:c>
      <x:c r="F134" s="37" t="str">
        <x:v>original Trap Muzik album version</x:v>
      </x:c>
      <x:c r="G134" s="37" t="str">
        <x:v>Atlanta</x:v>
      </x:c>
      <x:c r="H134" s="37" t="str">
        <x:v>trap; persona; Southern</x:v>
      </x:c>
      <x:c r="I134" s="37" t="str">
        <x:v>Trap as album identity before later standardization</x:v>
      </x:c>
      <x:c r="J134" s="37" t="str">
        <x:v>provisional</x:v>
      </x:c>
      <x:c r="K134" s="37" t="str">
        <x:v>metadata_unverified</x:v>
      </x:c>
      <x:c r="L134" s="37" t="str">
        <x:v>soundcloud_unresolved</x:v>
      </x:c>
      <x:c r="M134" s="37" t="str"/>
      <x:c r="N134" s="37" t="str">
        <x:v>Verify single/album master</x:v>
      </x:c>
      <x:c r="O134" s="37" t="str">
        <x:v>us</x:v>
      </x:c>
      <x:c r="P134" s="37" t="str"/>
      <x:c r="Q134" s="37" t="n">
        <x:v>0</x:v>
      </x:c>
      <x:c r="R134" s="37" t="n">
        <x:v>0</x:v>
      </x:c>
      <x:c r="S134" s="37" t="n">
        <x:v>0</x:v>
      </x:c>
    </x:row>
    <x:row r="135">
      <x:c r="A135" s="36" t="n">
        <x:v>134</x:v>
      </x:c>
      <x:c r="B135" s="36" t="str">
        <x:v>HH08</x:v>
      </x:c>
      <x:c r="C135" s="36" t="n">
        <x:v>2005</x:v>
      </x:c>
      <x:c r="D135" s="37" t="str">
        <x:v>Young Jeezy featuring Jay-Z</x:v>
      </x:c>
      <x:c r="E135" s="37" t="str">
        <x:v>Go Crazy</x:v>
      </x:c>
      <x:c r="F135" s="37" t="str">
        <x:v>preferred album version without later remix unless justified</x:v>
      </x:c>
      <x:c r="G135" s="37" t="str">
        <x:v>Atlanta</x:v>
      </x:c>
      <x:c r="H135" s="37" t="str">
        <x:v>trap; Shawty-Redd; anthem</x:v>
      </x:c>
      <x:c r="I135" s="37" t="str">
        <x:v>Trap grandeur and producer signature</x:v>
      </x:c>
      <x:c r="J135" s="37" t="str">
        <x:v>provisional</x:v>
      </x:c>
      <x:c r="K135" s="37" t="str">
        <x:v>metadata_unverified</x:v>
      </x:c>
      <x:c r="L135" s="37" t="str">
        <x:v>soundcloud_unresolved</x:v>
      </x:c>
      <x:c r="M135" s="37" t="str"/>
      <x:c r="N135" s="37" t="str">
        <x:v>Version decision required</x:v>
      </x:c>
      <x:c r="O135" s="37" t="str">
        <x:v>us</x:v>
      </x:c>
      <x:c r="P135" s="37" t="str"/>
      <x:c r="Q135" s="37" t="n">
        <x:v>0</x:v>
      </x:c>
      <x:c r="R135" s="37" t="n">
        <x:v>0</x:v>
      </x:c>
      <x:c r="S135" s="37" t="n">
        <x:v>0</x:v>
      </x:c>
    </x:row>
    <x:row r="136">
      <x:c r="A136" s="36" t="n">
        <x:v>135</x:v>
      </x:c>
      <x:c r="B136" s="36" t="str">
        <x:v>HH08</x:v>
      </x:c>
      <x:c r="C136" s="36" t="n">
        <x:v>2005</x:v>
      </x:c>
      <x:c r="D136" s="37" t="str">
        <x:v>Gucci Mane</x:v>
      </x:c>
      <x:c r="E136" s="37" t="str">
        <x:v>Trap House</x:v>
      </x:c>
      <x:c r="F136" s="37" t="str">
        <x:v>original album version</x:v>
      </x:c>
      <x:c r="G136" s="37" t="str">
        <x:v>Atlanta</x:v>
      </x:c>
      <x:c r="H136" s="37" t="str">
        <x:v>trap; mixtape-ecosystem; persona</x:v>
      </x:c>
      <x:c r="I136" s="37" t="str">
        <x:v>Eccentric diction and a durable independent trap lineage</x:v>
      </x:c>
      <x:c r="J136" s="37" t="str">
        <x:v>provisional</x:v>
      </x:c>
      <x:c r="K136" s="37" t="str">
        <x:v>metadata_unverified</x:v>
      </x:c>
      <x:c r="L136" s="37" t="str">
        <x:v>soundcloud_unresolved</x:v>
      </x:c>
      <x:c r="M136" s="37" t="str"/>
      <x:c r="N136" s="37" t="str">
        <x:v>Verify original Big Cat master</x:v>
      </x:c>
      <x:c r="O136" s="37" t="str">
        <x:v>us</x:v>
      </x:c>
      <x:c r="P136" s="37" t="str"/>
      <x:c r="Q136" s="37" t="n">
        <x:v>0</x:v>
      </x:c>
      <x:c r="R136" s="37" t="n">
        <x:v>0</x:v>
      </x:c>
      <x:c r="S136" s="37" t="n">
        <x:v>0</x:v>
      </x:c>
    </x:row>
    <x:row r="137">
      <x:c r="A137" s="36" t="n">
        <x:v>136</x:v>
      </x:c>
      <x:c r="B137" s="36" t="str">
        <x:v>HH08</x:v>
      </x:c>
      <x:c r="C137" s="36" t="n">
        <x:v>2005</x:v>
      </x:c>
      <x:c r="D137" s="37" t="str">
        <x:v>Lil Wayne</x:v>
      </x:c>
      <x:c r="E137" s="37" t="str">
        <x:v>Tha Mobb</x:v>
      </x:c>
      <x:c r="F137" s="37" t="str">
        <x:v>original Tha Carter II album version</x:v>
      </x:c>
      <x:c r="G137" s="37" t="str">
        <x:v>New Orleans</x:v>
      </x:c>
      <x:c r="H137" s="37" t="str">
        <x:v>mixtape-era; lyrical; Southern</x:v>
      </x:c>
      <x:c r="I137" s="37" t="str">
        <x:v>Mixtape-honed associative flow over album production</x:v>
      </x:c>
      <x:c r="J137" s="37" t="str">
        <x:v>provisional</x:v>
      </x:c>
      <x:c r="K137" s="37" t="str">
        <x:v>metadata_unverified</x:v>
      </x:c>
      <x:c r="L137" s="37" t="str">
        <x:v>soundcloud_unresolved</x:v>
      </x:c>
      <x:c r="M137" s="37" t="str"/>
      <x:c r="N137" s="37" t="str">
        <x:v>Canonical deep cut</x:v>
      </x:c>
      <x:c r="O137" s="37" t="str">
        <x:v>us</x:v>
      </x:c>
      <x:c r="P137" s="37" t="str"/>
      <x:c r="Q137" s="37" t="n">
        <x:v>0</x:v>
      </x:c>
      <x:c r="R137" s="37" t="n">
        <x:v>0</x:v>
      </x:c>
      <x:c r="S137" s="37" t="n">
        <x:v>0</x:v>
      </x:c>
    </x:row>
    <x:row r="138">
      <x:c r="A138" s="36" t="n">
        <x:v>137</x:v>
      </x:c>
      <x:c r="B138" s="36" t="str">
        <x:v>HH08</x:v>
      </x:c>
      <x:c r="C138" s="36" t="n">
        <x:v>2002</x:v>
      </x:c>
      <x:c r="D138" s="37" t="str">
        <x:v>Cam'ron</x:v>
      </x:c>
      <x:c r="E138" s="37" t="str">
        <x:v>I Really Mean It</x:v>
      </x:c>
      <x:c r="F138" s="37" t="str">
        <x:v>original Come Home with Me album version</x:v>
      </x:c>
      <x:c r="G138" s="37" t="str">
        <x:v>Harlem / New York</x:v>
      </x:c>
      <x:c r="H138" s="37" t="str">
        <x:v>Dipset; Heatmakerz; soul-sampling</x:v>
      </x:c>
      <x:c r="I138" s="37" t="str">
        <x:v>Stylized language and maximal pitched-soul production</x:v>
      </x:c>
      <x:c r="J138" s="37" t="str">
        <x:v>provisional</x:v>
      </x:c>
      <x:c r="K138" s="37" t="str">
        <x:v>metadata_unverified</x:v>
      </x:c>
      <x:c r="L138" s="37" t="str">
        <x:v>soundcloud_unresolved</x:v>
      </x:c>
      <x:c r="M138" s="37" t="str"/>
      <x:c r="N138" s="37" t="str">
        <x:v>Verify version</x:v>
      </x:c>
      <x:c r="O138" s="37" t="str">
        <x:v>us</x:v>
      </x:c>
      <x:c r="P138" s="37" t="str"/>
      <x:c r="Q138" s="37" t="n">
        <x:v>0</x:v>
      </x:c>
      <x:c r="R138" s="37" t="n">
        <x:v>0</x:v>
      </x:c>
      <x:c r="S138" s="37" t="n">
        <x:v>0</x:v>
      </x:c>
    </x:row>
    <x:row r="139">
      <x:c r="A139" s="36" t="n">
        <x:v>138</x:v>
      </x:c>
      <x:c r="B139" s="36" t="str">
        <x:v>HH08</x:v>
      </x:c>
      <x:c r="C139" s="36" t="n">
        <x:v>2002</x:v>
      </x:c>
      <x:c r="D139" s="37" t="str">
        <x:v>Jean Grae</x:v>
      </x:c>
      <x:c r="E139" s="37" t="str">
        <x:v>Hater's Anthem</x:v>
      </x:c>
      <x:c r="F139" s="37" t="str">
        <x:v>original Attack of the Attacking Things version</x:v>
      </x:c>
      <x:c r="G139" s="37" t="str">
        <x:v>New York / South Africa diaspora</x:v>
      </x:c>
      <x:c r="H139" s="37" t="str">
        <x:v>women; independent; lyrical</x:v>
      </x:c>
      <x:c r="I139" s="37" t="str">
        <x:v>Independent woman MC formal skill and diasporic biography</x:v>
      </x:c>
      <x:c r="J139" s="37" t="str">
        <x:v>provisional</x:v>
      </x:c>
      <x:c r="K139" s="37" t="str">
        <x:v>metadata_unverified</x:v>
      </x:c>
      <x:c r="L139" s="37" t="str">
        <x:v>soundcloud_unresolved</x:v>
      </x:c>
      <x:c r="M139" s="37" t="str"/>
      <x:c r="N139" s="37" t="str">
        <x:v>Version verify</x:v>
      </x:c>
      <x:c r="O139" s="37" t="str">
        <x:v>transnational_or_non_us</x:v>
      </x:c>
      <x:c r="P139" s="37" t="str">
        <x:v>women</x:v>
      </x:c>
      <x:c r="Q139" s="37" t="n">
        <x:v>1</x:v>
      </x:c>
      <x:c r="R139" s="37" t="n">
        <x:v>0</x:v>
      </x:c>
      <x:c r="S139" s="37" t="n">
        <x:v>0</x:v>
      </x:c>
    </x:row>
    <x:row r="140">
      <x:c r="A140" s="36" t="n">
        <x:v>139</x:v>
      </x:c>
      <x:c r="B140" s="36" t="str">
        <x:v>HH08</x:v>
      </x:c>
      <x:c r="C140" s="36" t="n">
        <x:v>2003</x:v>
      </x:c>
      <x:c r="D140" s="37" t="str">
        <x:v>50 Cent</x:v>
      </x:c>
      <x:c r="E140" s="37" t="str">
        <x:v>Many Men (Wish Death)</x:v>
      </x:c>
      <x:c r="F140" s="37" t="str">
        <x:v>original Get Rich or Die Tryin' album version</x:v>
      </x:c>
      <x:c r="G140" s="37" t="str">
        <x:v>Queens / New York</x:v>
      </x:c>
      <x:c r="H140" s="37" t="str">
        <x:v>mixtape-to-mainstream; narrative</x:v>
      </x:c>
      <x:c r="I140" s="37" t="str">
        <x:v>Mixtape credibility converted into cinematic album narrative</x:v>
      </x:c>
      <x:c r="J140" s="37" t="str">
        <x:v>provisional</x:v>
      </x:c>
      <x:c r="K140" s="37" t="str">
        <x:v>metadata_unverified</x:v>
      </x:c>
      <x:c r="L140" s="37" t="str">
        <x:v>soundcloud_unresolved</x:v>
      </x:c>
      <x:c r="M140" s="37" t="str"/>
      <x:c r="N140" s="37" t="str">
        <x:v>Canonical</x:v>
      </x:c>
      <x:c r="O140" s="37" t="str">
        <x:v>us</x:v>
      </x:c>
      <x:c r="P140" s="37" t="str"/>
      <x:c r="Q140" s="37" t="n">
        <x:v>0</x:v>
      </x:c>
      <x:c r="R140" s="37" t="n">
        <x:v>0</x:v>
      </x:c>
      <x:c r="S140" s="37" t="n">
        <x:v>0</x:v>
      </x:c>
    </x:row>
    <x:row r="141">
      <x:c r="A141" s="36" t="n">
        <x:v>140</x:v>
      </x:c>
      <x:c r="B141" s="36" t="str">
        <x:v>HH08</x:v>
      </x:c>
      <x:c r="C141" s="36" t="n">
        <x:v>2004</x:v>
      </x:c>
      <x:c r="D141" s="37" t="str">
        <x:v>Kanye West</x:v>
      </x:c>
      <x:c r="E141" s="37" t="str">
        <x:v>Jesus Walks</x:v>
      </x:c>
      <x:c r="F141" s="37" t="str">
        <x:v>original The College Dropout album version</x:v>
      </x:c>
      <x:c r="G141" s="37" t="str">
        <x:v>Chicago</x:v>
      </x:c>
      <x:c r="H141" s="37" t="str">
        <x:v>gospel; producer-MC; message</x:v>
      </x:c>
      <x:c r="I141" s="37" t="str">
        <x:v>Sacred address inside mainstream drum programming</x:v>
      </x:c>
      <x:c r="J141" s="37" t="str">
        <x:v>provisional</x:v>
      </x:c>
      <x:c r="K141" s="37" t="str">
        <x:v>metadata_unverified</x:v>
      </x:c>
      <x:c r="L141" s="37" t="str">
        <x:v>soundcloud_unresolved</x:v>
      </x:c>
      <x:c r="M141" s="37" t="str"/>
      <x:c r="N141" s="37" t="str">
        <x:v>Canonical</x:v>
      </x:c>
      <x:c r="O141" s="37" t="str">
        <x:v>us</x:v>
      </x:c>
      <x:c r="P141" s="37" t="str">
        <x:v>non_mc_role_or_live</x:v>
      </x:c>
      <x:c r="Q141" s="37" t="n">
        <x:v>0</x:v>
      </x:c>
      <x:c r="R141" s="37" t="n">
        <x:v>0</x:v>
      </x:c>
      <x:c r="S141" s="37" t="n">
        <x:v>1</x:v>
      </x:c>
    </x:row>
    <x:row r="142">
      <x:c r="A142" s="36" t="n">
        <x:v>141</x:v>
      </x:c>
      <x:c r="B142" s="36" t="str">
        <x:v>HH08</x:v>
      </x:c>
      <x:c r="C142" s="36" t="n">
        <x:v>2002</x:v>
      </x:c>
      <x:c r="D142" s="37" t="str">
        <x:v>Tego Calderón</x:v>
      </x:c>
      <x:c r="E142" s="37" t="str">
        <x:v>Pa' Que Retozen</x:v>
      </x:c>
      <x:c r="F142" s="37" t="str">
        <x:v>original El Abayarde version</x:v>
      </x:c>
      <x:c r="G142" s="37" t="str">
        <x:v>Puerto Rico</x:v>
      </x:c>
      <x:c r="H142" s="37" t="str">
        <x:v>Puerto-Rican-rap; reggaeton-neighbor; dance</x:v>
      </x:c>
      <x:c r="I142" s="37" t="str">
        <x:v>Afro-Puerto Rican voice at the rap-reggaeton boundary</x:v>
      </x:c>
      <x:c r="J142" s="37" t="str">
        <x:v>provisional</x:v>
      </x:c>
      <x:c r="K142" s="37" t="str">
        <x:v>metadata_unverified</x:v>
      </x:c>
      <x:c r="L142" s="37" t="str">
        <x:v>soundcloud_unresolved</x:v>
      </x:c>
      <x:c r="M142" s="37" t="str"/>
      <x:c r="N142" s="37" t="str">
        <x:v>Do not collapse reggaeton into rap; exact master verify</x:v>
      </x:c>
      <x:c r="O142" s="37" t="str">
        <x:v>us</x:v>
      </x:c>
      <x:c r="P142" s="37" t="str"/>
      <x:c r="Q142" s="37" t="n">
        <x:v>0</x:v>
      </x:c>
      <x:c r="R142" s="37" t="n">
        <x:v>0</x:v>
      </x:c>
      <x:c r="S142" s="37" t="n">
        <x:v>0</x:v>
      </x:c>
    </x:row>
    <x:row r="143">
      <x:c r="A143" s="36" t="n">
        <x:v>142</x:v>
      </x:c>
      <x:c r="B143" s="36" t="str">
        <x:v>HH08</x:v>
      </x:c>
      <x:c r="C143" s="36" t="n">
        <x:v>2004</x:v>
      </x:c>
      <x:c r="D143" s="37" t="str">
        <x:v>Madvillain</x:v>
      </x:c>
      <x:c r="E143" s="37" t="str">
        <x:v>Accordion</x:v>
      </x:c>
      <x:c r="F143" s="37" t="str">
        <x:v>original Madvillainy album version</x:v>
      </x:c>
      <x:c r="G143" s="37" t="str">
        <x:v>Los Angeles / New York</x:v>
      </x:c>
      <x:c r="H143" s="37" t="str">
        <x:v>abstract; producer-MC; concise</x:v>
      </x:c>
      <x:c r="I143" s="37" t="str">
        <x:v>Compressed form eccentric sample and oblique writing</x:v>
      </x:c>
      <x:c r="J143" s="37" t="str">
        <x:v>provisional</x:v>
      </x:c>
      <x:c r="K143" s="37" t="str">
        <x:v>metadata_unverified</x:v>
      </x:c>
      <x:c r="L143" s="37" t="str">
        <x:v>soundcloud_unresolved</x:v>
      </x:c>
      <x:c r="M143" s="37" t="str"/>
      <x:c r="N143" s="37" t="str">
        <x:v>Connoisseur anchor</x:v>
      </x:c>
      <x:c r="O143" s="37" t="str">
        <x:v>us</x:v>
      </x:c>
      <x:c r="P143" s="37" t="str">
        <x:v>non_mc_role_or_live</x:v>
      </x:c>
      <x:c r="Q143" s="37" t="n">
        <x:v>0</x:v>
      </x:c>
      <x:c r="R143" s="37" t="n">
        <x:v>0</x:v>
      </x:c>
      <x:c r="S143" s="37" t="n">
        <x:v>1</x:v>
      </x:c>
    </x:row>
    <x:row r="144">
      <x:c r="A144" s="36" t="n">
        <x:v>143</x:v>
      </x:c>
      <x:c r="B144" s="36" t="str">
        <x:v>HH08</x:v>
      </x:c>
      <x:c r="C144" s="36" t="n">
        <x:v>2006</x:v>
      </x:c>
      <x:c r="D144" s="37" t="str">
        <x:v>J Dilla</x:v>
      </x:c>
      <x:c r="E144" s="37" t="str">
        <x:v>Time: The Donut of the Heart</x:v>
      </x:c>
      <x:c r="F144" s="37" t="str">
        <x:v>original Donuts album version</x:v>
      </x:c>
      <x:c r="G144" s="37" t="str">
        <x:v>Detroit</x:v>
      </x:c>
      <x:c r="H144" s="37" t="str">
        <x:v>instrumental; beat-tape; sampling</x:v>
      </x:c>
      <x:c r="I144" s="37" t="str">
        <x:v>Micro-composition and producer listening</x:v>
      </x:c>
      <x:c r="J144" s="37" t="str">
        <x:v>provisional</x:v>
      </x:c>
      <x:c r="K144" s="37" t="str">
        <x:v>metadata_unverified</x:v>
      </x:c>
      <x:c r="L144" s="37" t="str">
        <x:v>soundcloud_unresolved</x:v>
      </x:c>
      <x:c r="M144" s="37" t="str"/>
      <x:c r="N144" s="37" t="str">
        <x:v>Verify title punctuation</x:v>
      </x:c>
      <x:c r="O144" s="37" t="str">
        <x:v>us</x:v>
      </x:c>
      <x:c r="P144" s="37" t="str">
        <x:v>non_mc_role_or_live</x:v>
      </x:c>
      <x:c r="Q144" s="37" t="n">
        <x:v>0</x:v>
      </x:c>
      <x:c r="R144" s="37" t="n">
        <x:v>0</x:v>
      </x:c>
      <x:c r="S144" s="37" t="n">
        <x:v>1</x:v>
      </x:c>
    </x:row>
    <x:row r="145">
      <x:c r="A145" s="36" t="n">
        <x:v>144</x:v>
      </x:c>
      <x:c r="B145" s="36" t="str">
        <x:v>HH08</x:v>
      </x:c>
      <x:c r="C145" s="36" t="n">
        <x:v>2005</x:v>
      </x:c>
      <x:c r="D145" s="37" t="str">
        <x:v>Little Brother</x:v>
      </x:c>
      <x:c r="E145" s="37" t="str">
        <x:v>Lovin' It</x:v>
      </x:c>
      <x:c r="F145" s="37" t="str">
        <x:v>original The Minstrel Show album version</x:v>
      </x:c>
      <x:c r="G145" s="37" t="str">
        <x:v>North Carolina</x:v>
      </x:c>
      <x:c r="H145" s="37" t="str">
        <x:v>independent; 9th-Wonder; critique</x:v>
      </x:c>
      <x:c r="I145" s="37" t="str">
        <x:v>Regional independent craft and media critique</x:v>
      </x:c>
      <x:c r="J145" s="37" t="str">
        <x:v>provisional</x:v>
      </x:c>
      <x:c r="K145" s="37" t="str">
        <x:v>metadata_unverified</x:v>
      </x:c>
      <x:c r="L145" s="37" t="str">
        <x:v>soundcloud_unresolved</x:v>
      </x:c>
      <x:c r="M145" s="37" t="str"/>
      <x:c r="N145" s="37" t="str">
        <x:v>Deep-route choice</x:v>
      </x:c>
      <x:c r="O145" s="37" t="str">
        <x:v>us</x:v>
      </x:c>
      <x:c r="P145" s="37" t="str"/>
      <x:c r="Q145" s="37" t="n">
        <x:v>0</x:v>
      </x:c>
      <x:c r="R145" s="37" t="n">
        <x:v>0</x:v>
      </x:c>
      <x:c r="S145" s="37" t="n">
        <x:v>0</x:v>
      </x:c>
    </x:row>
    <x:row r="146">
      <x:c r="A146" s="36" t="n">
        <x:v>145</x:v>
      </x:c>
      <x:c r="B146" s="36" t="str">
        <x:v>HH08</x:v>
      </x:c>
      <x:c r="C146" s="36" t="n">
        <x:v>2003</x:v>
      </x:c>
      <x:c r="D146" s="37" t="str">
        <x:v>M.I.A.</x:v>
      </x:c>
      <x:c r="E146" s="37" t="str">
        <x:v>Galang</x:v>
      </x:c>
      <x:c r="F146" s="37" t="str">
        <x:v>original single version</x:v>
      </x:c>
      <x:c r="G146" s="37" t="str">
        <x:v>London / Sri Lankan diaspora</x:v>
      </x:c>
      <x:c r="H146" s="37" t="str">
        <x:v>global; electronic; political</x:v>
      </x:c>
      <x:c r="I146" s="37" t="str">
        <x:v>Diasporic authorship between rap dancehall and electronic production</x:v>
      </x:c>
      <x:c r="J146" s="37" t="str">
        <x:v>provisional</x:v>
      </x:c>
      <x:c r="K146" s="37" t="str">
        <x:v>metadata_unverified</x:v>
      </x:c>
      <x:c r="L146" s="37" t="str">
        <x:v>soundcloud_unresolved</x:v>
      </x:c>
      <x:c r="M146" s="37" t="str"/>
      <x:c r="N146" s="37" t="str">
        <x:v>Boundary track; exact 2003/2004 issue verify</x:v>
      </x:c>
      <x:c r="O146" s="37" t="str">
        <x:v>transnational_or_non_us</x:v>
      </x:c>
      <x:c r="P146" s="37" t="str"/>
      <x:c r="Q146" s="37" t="n">
        <x:v>0</x:v>
      </x:c>
      <x:c r="R146" s="37" t="n">
        <x:v>0</x:v>
      </x:c>
      <x:c r="S146" s="37" t="n">
        <x:v>0</x:v>
      </x:c>
    </x:row>
    <x:row r="147">
      <x:c r="A147" s="36" t="n">
        <x:v>146</x:v>
      </x:c>
      <x:c r="B147" s="36" t="str">
        <x:v>HH08</x:v>
      </x:c>
      <x:c r="C147" s="36" t="n">
        <x:v>2003</x:v>
      </x:c>
      <x:c r="D147" s="37" t="str">
        <x:v>Dizzee Rascal</x:v>
      </x:c>
      <x:c r="E147" s="37" t="str">
        <x:v>I Luv U</x:v>
      </x:c>
      <x:c r="F147" s="37" t="str">
        <x:v>original Boy in da Corner album version</x:v>
      </x:c>
      <x:c r="G147" s="37" t="str">
        <x:v>London / United Kingdom</x:v>
      </x:c>
      <x:c r="H147" s="37" t="str">
        <x:v>grime; MC; electronic</x:v>
      </x:c>
      <x:c r="I147" s="37" t="str">
        <x:v>Grime as a neighboring Black British MC form with distinct grammar</x:v>
      </x:c>
      <x:c r="J147" s="37" t="str">
        <x:v>provisional</x:v>
      </x:c>
      <x:c r="K147" s="37" t="str">
        <x:v>metadata_unverified</x:v>
      </x:c>
      <x:c r="L147" s="37" t="str">
        <x:v>soundcloud_unresolved</x:v>
      </x:c>
      <x:c r="M147" s="37" t="str"/>
      <x:c r="N147" s="37" t="str">
        <x:v>Do not relabel grime as rap subgenre</x:v>
      </x:c>
      <x:c r="O147" s="37" t="str">
        <x:v>transnational_or_non_us</x:v>
      </x:c>
      <x:c r="P147" s="37" t="str"/>
      <x:c r="Q147" s="37" t="n">
        <x:v>0</x:v>
      </x:c>
      <x:c r="R147" s="37" t="n">
        <x:v>0</x:v>
      </x:c>
      <x:c r="S147" s="37" t="n">
        <x:v>0</x:v>
      </x:c>
    </x:row>
    <x:row r="148">
      <x:c r="A148" s="36" t="n">
        <x:v>147</x:v>
      </x:c>
      <x:c r="B148" s="36" t="str">
        <x:v>HH08</x:v>
      </x:c>
      <x:c r="C148" s="36" t="n">
        <x:v>2001</x:v>
      </x:c>
      <x:c r="D148" s="37" t="str">
        <x:v>The Streets</x:v>
      </x:c>
      <x:c r="E148" s="37" t="str">
        <x:v>Has It Come to This?</x:v>
      </x:c>
      <x:c r="F148" s="37" t="str">
        <x:v>original single or Original Pirate Material version</x:v>
      </x:c>
      <x:c r="G148" s="37" t="str">
        <x:v>Birmingham / London</x:v>
      </x:c>
      <x:c r="H148" s="37" t="str">
        <x:v>UK-rap; garage-neighbor; narrative</x:v>
      </x:c>
      <x:c r="I148" s="37" t="str">
        <x:v>British conversational voice over garage-derived production</x:v>
      </x:c>
      <x:c r="J148" s="37" t="str">
        <x:v>provisional</x:v>
      </x:c>
      <x:c r="K148" s="37" t="str">
        <x:v>metadata_unverified</x:v>
      </x:c>
      <x:c r="L148" s="37" t="str">
        <x:v>soundcloud_unresolved</x:v>
      </x:c>
      <x:c r="M148" s="37" t="str"/>
      <x:c r="N148" s="37" t="str">
        <x:v>Version verify</x:v>
      </x:c>
      <x:c r="O148" s="37" t="str">
        <x:v>transnational_or_non_us</x:v>
      </x:c>
      <x:c r="P148" s="37" t="str"/>
      <x:c r="Q148" s="37" t="n">
        <x:v>0</x:v>
      </x:c>
      <x:c r="R148" s="37" t="n">
        <x:v>0</x:v>
      </x:c>
      <x:c r="S148" s="37" t="n">
        <x:v>0</x:v>
      </x:c>
    </x:row>
    <x:row r="149">
      <x:c r="A149" s="36" t="n">
        <x:v>148</x:v>
      </x:c>
      <x:c r="B149" s="36" t="str">
        <x:v>HH08</x:v>
      </x:c>
      <x:c r="C149" s="36" t="n">
        <x:v>2004</x:v>
      </x:c>
      <x:c r="D149" s="37" t="str">
        <x:v>TTC</x:v>
      </x:c>
      <x:c r="E149" s="37" t="str">
        <x:v>Dans le club</x:v>
      </x:c>
      <x:c r="F149" s="37" t="str">
        <x:v>original Bâtards sensibles version</x:v>
      </x:c>
      <x:c r="G149" s="37" t="str">
        <x:v>France</x:v>
      </x:c>
      <x:c r="H149" s="37" t="str">
        <x:v>French-rap; electronic; club</x:v>
      </x:c>
      <x:c r="I149" s="37" t="str">
        <x:v>French experimental club-facing rap</x:v>
      </x:c>
      <x:c r="J149" s="37" t="str">
        <x:v>provisional</x:v>
      </x:c>
      <x:c r="K149" s="37" t="str">
        <x:v>metadata_unverified</x:v>
      </x:c>
      <x:c r="L149" s="37" t="str">
        <x:v>soundcloud_unresolved</x:v>
      </x:c>
      <x:c r="M149" s="37" t="str"/>
      <x:c r="N149" s="37" t="str">
        <x:v>Exact version verify</x:v>
      </x:c>
      <x:c r="O149" s="37" t="str">
        <x:v>transnational_or_non_us</x:v>
      </x:c>
      <x:c r="P149" s="37" t="str"/>
      <x:c r="Q149" s="37" t="n">
        <x:v>0</x:v>
      </x:c>
      <x:c r="R149" s="37" t="n">
        <x:v>0</x:v>
      </x:c>
      <x:c r="S149" s="37" t="n">
        <x:v>0</x:v>
      </x:c>
    </x:row>
    <x:row r="150">
      <x:c r="A150" s="36" t="n">
        <x:v>149</x:v>
      </x:c>
      <x:c r="B150" s="36" t="str">
        <x:v>HH08</x:v>
      </x:c>
      <x:c r="C150" s="36" t="n">
        <x:v>2005</x:v>
      </x:c>
      <x:c r="D150" s="37" t="str">
        <x:v>K'naan</x:v>
      </x:c>
      <x:c r="E150" s="37" t="str">
        <x:v>What's Hardcore?</x:v>
      </x:c>
      <x:c r="F150" s="37" t="str">
        <x:v>original The Dusty Foot Philosopher version</x:v>
      </x:c>
      <x:c r="G150" s="37" t="str">
        <x:v>Somalia / Canada</x:v>
      </x:c>
      <x:c r="H150" s="37" t="str">
        <x:v>diaspora; political; global</x:v>
      </x:c>
      <x:c r="I150" s="37" t="str">
        <x:v>Challenges US gangsta authenticity through Somali experience</x:v>
      </x:c>
      <x:c r="J150" s="37" t="str">
        <x:v>provisional</x:v>
      </x:c>
      <x:c r="K150" s="37" t="str">
        <x:v>metadata_unverified</x:v>
      </x:c>
      <x:c r="L150" s="37" t="str">
        <x:v>soundcloud_unresolved</x:v>
      </x:c>
      <x:c r="M150" s="37" t="str"/>
      <x:c r="N150" s="37" t="str">
        <x:v>Contextualize comparative violence carefully</x:v>
      </x:c>
      <x:c r="O150" s="37" t="str">
        <x:v>transnational_or_non_us</x:v>
      </x:c>
      <x:c r="P150" s="37" t="str"/>
      <x:c r="Q150" s="37" t="n">
        <x:v>0</x:v>
      </x:c>
      <x:c r="R150" s="37" t="n">
        <x:v>0</x:v>
      </x:c>
      <x:c r="S150" s="37" t="n">
        <x:v>0</x:v>
      </x:c>
    </x:row>
    <x:row r="151">
      <x:c r="A151" s="36" t="n">
        <x:v>150</x:v>
      </x:c>
      <x:c r="B151" s="36" t="str">
        <x:v>HH08</x:v>
      </x:c>
      <x:c r="C151" s="36" t="n">
        <x:v>2003</x:v>
      </x:c>
      <x:c r="D151" s="37" t="str">
        <x:v>Daara J</x:v>
      </x:c>
      <x:c r="E151" s="37" t="str">
        <x:v>Exodus</x:v>
      </x:c>
      <x:c r="F151" s="37" t="str">
        <x:v>original Boomerang album version</x:v>
      </x:c>
      <x:c r="G151" s="37" t="str">
        <x:v>Dakar / Senegal</x:v>
      </x:c>
      <x:c r="H151" s="37" t="str">
        <x:v>Senegalese-rap; Wolof/French; global</x:v>
      </x:c>
      <x:c r="I151" s="37" t="str">
        <x:v>Senegalese multilingual scene and outward circulation</x:v>
      </x:c>
      <x:c r="J151" s="37" t="str">
        <x:v>provisional</x:v>
      </x:c>
      <x:c r="K151" s="37" t="str">
        <x:v>metadata_unverified</x:v>
      </x:c>
      <x:c r="L151" s="37" t="str">
        <x:v>soundcloud_unresolved</x:v>
      </x:c>
      <x:c r="M151" s="37" t="str"/>
      <x:c r="N151" s="37" t="str">
        <x:v>Release/version verify</x:v>
      </x:c>
      <x:c r="O151" s="37" t="str">
        <x:v>transnational_or_non_us</x:v>
      </x:c>
      <x:c r="P151" s="37" t="str"/>
      <x:c r="Q151" s="37" t="n">
        <x:v>0</x:v>
      </x:c>
      <x:c r="R151" s="37" t="n">
        <x:v>0</x:v>
      </x:c>
      <x:c r="S151" s="37" t="n">
        <x:v>0</x:v>
      </x:c>
    </x:row>
    <x:row r="152">
      <x:c r="A152" s="36" t="n">
        <x:v>151</x:v>
      </x:c>
      <x:c r="B152" s="36" t="str">
        <x:v>HH09</x:v>
      </x:c>
      <x:c r="C152" s="36" t="n">
        <x:v>2008</x:v>
      </x:c>
      <x:c r="D152" s="37" t="str">
        <x:v>Lil Wayne</x:v>
      </x:c>
      <x:c r="E152" s="37" t="str">
        <x:v>A Milli</x:v>
      </x:c>
      <x:c r="F152" s="37" t="str">
        <x:v>original Tha Carter III album version</x:v>
      </x:c>
      <x:c r="G152" s="37" t="str">
        <x:v>New Orleans</x:v>
      </x:c>
      <x:c r="H152" s="37" t="str">
        <x:v>mixtape-era; flow; Bangladesh</x:v>
      </x:c>
      <x:c r="I152" s="37" t="str">
        <x:v>Sustained single-loop virtuosity at mainstream scale</x:v>
      </x:c>
      <x:c r="J152" s="37" t="str">
        <x:v>provisional</x:v>
      </x:c>
      <x:c r="K152" s="37" t="str">
        <x:v>metadata_unverified</x:v>
      </x:c>
      <x:c r="L152" s="37" t="str">
        <x:v>soundcloud_unresolved</x:v>
      </x:c>
      <x:c r="M152" s="37" t="str"/>
      <x:c r="N152" s="37" t="str">
        <x:v>Canonical</x:v>
      </x:c>
      <x:c r="O152" s="37" t="str">
        <x:v>us</x:v>
      </x:c>
      <x:c r="P152" s="37" t="str"/>
      <x:c r="Q152" s="37" t="n">
        <x:v>0</x:v>
      </x:c>
      <x:c r="R152" s="37" t="n">
        <x:v>0</x:v>
      </x:c>
      <x:c r="S152" s="37" t="n">
        <x:v>0</x:v>
      </x:c>
    </x:row>
    <x:row r="153">
      <x:c r="A153" s="36" t="n">
        <x:v>152</x:v>
      </x:c>
      <x:c r="B153" s="36" t="str">
        <x:v>HH09</x:v>
      </x:c>
      <x:c r="C153" s="36" t="n">
        <x:v>2008</x:v>
      </x:c>
      <x:c r="D153" s="37" t="str">
        <x:v>Kanye West</x:v>
      </x:c>
      <x:c r="E153" s="37" t="str">
        <x:v>Say You Will</x:v>
      </x:c>
      <x:c r="F153" s="37" t="str">
        <x:v>original 808s &amp; Heartbreak album version</x:v>
      </x:c>
      <x:c r="G153" s="37" t="str">
        <x:v>Chicago</x:v>
      </x:c>
      <x:c r="H153" s="37" t="str">
        <x:v>Auto-Tune; minimal; album-form</x:v>
      </x:c>
      <x:c r="I153" s="37" t="str">
        <x:v>Vocal processing emptiness and pop-rap emotional form</x:v>
      </x:c>
      <x:c r="J153" s="37" t="str">
        <x:v>provisional</x:v>
      </x:c>
      <x:c r="K153" s="37" t="str">
        <x:v>metadata_unverified</x:v>
      </x:c>
      <x:c r="L153" s="37" t="str">
        <x:v>soundcloud_unresolved</x:v>
      </x:c>
      <x:c r="M153" s="37" t="str"/>
      <x:c r="N153" s="37" t="str">
        <x:v>Not a conventional rap performance</x:v>
      </x:c>
      <x:c r="O153" s="37" t="str">
        <x:v>us</x:v>
      </x:c>
      <x:c r="P153" s="37" t="str"/>
      <x:c r="Q153" s="37" t="n">
        <x:v>0</x:v>
      </x:c>
      <x:c r="R153" s="37" t="n">
        <x:v>0</x:v>
      </x:c>
      <x:c r="S153" s="37" t="n">
        <x:v>0</x:v>
      </x:c>
    </x:row>
    <x:row r="154">
      <x:c r="A154" s="36" t="n">
        <x:v>153</x:v>
      </x:c>
      <x:c r="B154" s="36" t="str">
        <x:v>HH09</x:v>
      </x:c>
      <x:c r="C154" s="36" t="n">
        <x:v>2007</x:v>
      </x:c>
      <x:c r="D154" s="37" t="str">
        <x:v>T-Pain featuring Yung Joc</x:v>
      </x:c>
      <x:c r="E154" s="37" t="str">
        <x:v>Buy U a Drank (Shawty Snappin')</x:v>
      </x:c>
      <x:c r="F154" s="37" t="str">
        <x:v>original Epiphany album version</x:v>
      </x:c>
      <x:c r="G154" s="37" t="str">
        <x:v>Florida</x:v>
      </x:c>
      <x:c r="H154" s="37" t="str">
        <x:v>Auto-Tune; melody; snap</x:v>
      </x:c>
      <x:c r="I154" s="37" t="str">
        <x:v>Auto-Tune as authored instrument rather than correction</x:v>
      </x:c>
      <x:c r="J154" s="37" t="str">
        <x:v>provisional</x:v>
      </x:c>
      <x:c r="K154" s="37" t="str">
        <x:v>metadata_unverified</x:v>
      </x:c>
      <x:c r="L154" s="37" t="str">
        <x:v>soundcloud_unresolved</x:v>
      </x:c>
      <x:c r="M154" s="37" t="str"/>
      <x:c r="N154" s="37" t="str">
        <x:v>Canonical technology exhibit</x:v>
      </x:c>
      <x:c r="O154" s="37" t="str">
        <x:v>us</x:v>
      </x:c>
      <x:c r="P154" s="37" t="str"/>
      <x:c r="Q154" s="37" t="n">
        <x:v>0</x:v>
      </x:c>
      <x:c r="R154" s="37" t="n">
        <x:v>0</x:v>
      </x:c>
      <x:c r="S154" s="37" t="n">
        <x:v>0</x:v>
      </x:c>
    </x:row>
    <x:row r="155">
      <x:c r="A155" s="36" t="n">
        <x:v>154</x:v>
      </x:c>
      <x:c r="B155" s="36" t="str">
        <x:v>HH09</x:v>
      </x:c>
      <x:c r="C155" s="36" t="n">
        <x:v>2008</x:v>
      </x:c>
      <x:c r="D155" s="37" t="str">
        <x:v>Kid Cudi</x:v>
      </x:c>
      <x:c r="E155" s="37" t="str">
        <x:v>Day 'N' Nite</x:v>
      </x:c>
      <x:c r="F155" s="37" t="str">
        <x:v>original A Kid Named Cudi mixtape version to compare with album</x:v>
      </x:c>
      <x:c r="G155" s="37" t="str">
        <x:v>Cleveland / New York</x:v>
      </x:c>
      <x:c r="H155" s="37" t="str">
        <x:v>blog-rap; melody; interiority</x:v>
      </x:c>
      <x:c r="I155" s="37" t="str">
        <x:v>Blog circulation and melodic interior voice</x:v>
      </x:c>
      <x:c r="J155" s="37" t="str">
        <x:v>provisional</x:v>
      </x:c>
      <x:c r="K155" s="37" t="str">
        <x:v>metadata_unverified</x:v>
      </x:c>
      <x:c r="L155" s="37" t="str">
        <x:v>soundcloud_unresolved</x:v>
      </x:c>
      <x:c r="M155" s="37" t="str"/>
      <x:c r="N155" s="37" t="str">
        <x:v>Version decision is pedagogically important</x:v>
      </x:c>
      <x:c r="O155" s="37" t="str">
        <x:v>us</x:v>
      </x:c>
      <x:c r="P155" s="37" t="str"/>
      <x:c r="Q155" s="37" t="n">
        <x:v>0</x:v>
      </x:c>
      <x:c r="R155" s="37" t="n">
        <x:v>0</x:v>
      </x:c>
      <x:c r="S155" s="37" t="n">
        <x:v>0</x:v>
      </x:c>
    </x:row>
    <x:row r="156">
      <x:c r="A156" s="36" t="n">
        <x:v>155</x:v>
      </x:c>
      <x:c r="B156" s="36" t="str">
        <x:v>HH09</x:v>
      </x:c>
      <x:c r="C156" s="36" t="n">
        <x:v>2010</x:v>
      </x:c>
      <x:c r="D156" s="37" t="str">
        <x:v>Drake</x:v>
      </x:c>
      <x:c r="E156" s="37" t="str">
        <x:v>9AM in Dallas</x:v>
      </x:c>
      <x:c r="F156" s="37" t="str">
        <x:v>original download/single version</x:v>
      </x:c>
      <x:c r="G156" s="37" t="str">
        <x:v>Toronto / Canada</x:v>
      </x:c>
      <x:c r="H156" s="37" t="str">
        <x:v>blog-era; lyrical; internet</x:v>
      </x:c>
      <x:c r="I156" s="37" t="str">
        <x:v>Internet-era loosie and Toronto center formation</x:v>
      </x:c>
      <x:c r="J156" s="37" t="str">
        <x:v>provisional</x:v>
      </x:c>
      <x:c r="K156" s="37" t="str">
        <x:v>metadata_unverified</x:v>
      </x:c>
      <x:c r="L156" s="37" t="str">
        <x:v>soundcloud_unresolved</x:v>
      </x:c>
      <x:c r="M156" s="37" t="str"/>
      <x:c r="N156" s="37" t="str">
        <x:v>Official upload provenance needed</x:v>
      </x:c>
      <x:c r="O156" s="37" t="str">
        <x:v>transnational_or_non_us</x:v>
      </x:c>
      <x:c r="P156" s="37" t="str"/>
      <x:c r="Q156" s="37" t="n">
        <x:v>0</x:v>
      </x:c>
      <x:c r="R156" s="37" t="n">
        <x:v>0</x:v>
      </x:c>
      <x:c r="S156" s="37" t="n">
        <x:v>0</x:v>
      </x:c>
    </x:row>
    <x:row r="157">
      <x:c r="A157" s="36" t="n">
        <x:v>156</x:v>
      </x:c>
      <x:c r="B157" s="36" t="str">
        <x:v>HH09</x:v>
      </x:c>
      <x:c r="C157" s="36" t="n">
        <x:v>2010</x:v>
      </x:c>
      <x:c r="D157" s="37" t="str">
        <x:v>Waka Flocka Flame</x:v>
      </x:c>
      <x:c r="E157" s="37" t="str">
        <x:v>Hard in da Paint</x:v>
      </x:c>
      <x:c r="F157" s="37" t="str">
        <x:v>original Flockaveli album version</x:v>
      </x:c>
      <x:c r="G157" s="37" t="str">
        <x:v>Atlanta</x:v>
      </x:c>
      <x:c r="H157" s="37" t="str">
        <x:v>Lex-Luger; trap; maximal</x:v>
      </x:c>
      <x:c r="I157" s="37" t="str">
        <x:v>Trap orchestration and shouted physical force</x:v>
      </x:c>
      <x:c r="J157" s="37" t="str">
        <x:v>provisional</x:v>
      </x:c>
      <x:c r="K157" s="37" t="str">
        <x:v>metadata_unverified</x:v>
      </x:c>
      <x:c r="L157" s="37" t="str">
        <x:v>soundcloud_unresolved</x:v>
      </x:c>
      <x:c r="M157" s="37" t="str"/>
      <x:c r="N157" s="37" t="str">
        <x:v>Canonical</x:v>
      </x:c>
      <x:c r="O157" s="37" t="str">
        <x:v>us</x:v>
      </x:c>
      <x:c r="P157" s="37" t="str"/>
      <x:c r="Q157" s="37" t="n">
        <x:v>0</x:v>
      </x:c>
      <x:c r="R157" s="37" t="n">
        <x:v>0</x:v>
      </x:c>
      <x:c r="S157" s="37" t="n">
        <x:v>0</x:v>
      </x:c>
    </x:row>
    <x:row r="158">
      <x:c r="A158" s="36" t="n">
        <x:v>157</x:v>
      </x:c>
      <x:c r="B158" s="36" t="str">
        <x:v>HH09</x:v>
      </x:c>
      <x:c r="C158" s="36" t="n">
        <x:v>2009</x:v>
      </x:c>
      <x:c r="D158" s="37" t="str">
        <x:v>Nicki Minaj</x:v>
      </x:c>
      <x:c r="E158" s="37" t="str">
        <x:v>Itty Bitty Piggy</x:v>
      </x:c>
      <x:c r="F158" s="37" t="str">
        <x:v>original Beam Me Up Scotty mixtape version</x:v>
      </x:c>
      <x:c r="G158" s="37" t="str">
        <x:v>Queens / New York</x:v>
      </x:c>
      <x:c r="H158" s="37" t="str">
        <x:v>women; mixtape; battle</x:v>
      </x:c>
      <x:c r="I158" s="37" t="str">
        <x:v>Mixtape persona multiplication and verbal attack</x:v>
      </x:c>
      <x:c r="J158" s="37" t="str">
        <x:v>provisional</x:v>
      </x:c>
      <x:c r="K158" s="37" t="str">
        <x:v>metadata_unverified</x:v>
      </x:c>
      <x:c r="L158" s="37" t="str">
        <x:v>soundcloud_unresolved</x:v>
      </x:c>
      <x:c r="M158" s="37" t="str"/>
      <x:c r="N158" s="37" t="str">
        <x:v>Do not substitute later remaster silently</x:v>
      </x:c>
      <x:c r="O158" s="37" t="str">
        <x:v>us</x:v>
      </x:c>
      <x:c r="P158" s="37" t="str">
        <x:v>women</x:v>
      </x:c>
      <x:c r="Q158" s="37" t="n">
        <x:v>1</x:v>
      </x:c>
      <x:c r="R158" s="37" t="n">
        <x:v>0</x:v>
      </x:c>
      <x:c r="S158" s="37" t="n">
        <x:v>0</x:v>
      </x:c>
    </x:row>
    <x:row r="159">
      <x:c r="A159" s="36" t="n">
        <x:v>158</x:v>
      </x:c>
      <x:c r="B159" s="36" t="str">
        <x:v>HH09</x:v>
      </x:c>
      <x:c r="C159" s="36" t="n">
        <x:v>2007</x:v>
      </x:c>
      <x:c r="D159" s="37" t="str">
        <x:v>Lupe Fiasco</x:v>
      </x:c>
      <x:c r="E159" s="37" t="str">
        <x:v>Dumb It Down</x:v>
      </x:c>
      <x:c r="F159" s="37" t="str">
        <x:v>original The Cool album version</x:v>
      </x:c>
      <x:c r="G159" s="37" t="str">
        <x:v>Chicago</x:v>
      </x:c>
      <x:c r="H159" s="37" t="str">
        <x:v>lyrical; meta-critique; message</x:v>
      </x:c>
      <x:c r="I159" s="37" t="str">
        <x:v>Argument about audience industry and lyrical complexity</x:v>
      </x:c>
      <x:c r="J159" s="37" t="str">
        <x:v>provisional</x:v>
      </x:c>
      <x:c r="K159" s="37" t="str">
        <x:v>metadata_unverified</x:v>
      </x:c>
      <x:c r="L159" s="37" t="str">
        <x:v>soundcloud_unresolved</x:v>
      </x:c>
      <x:c r="M159" s="37" t="str"/>
      <x:c r="N159" s="37" t="str">
        <x:v>Potential Tom route</x:v>
      </x:c>
      <x:c r="O159" s="37" t="str">
        <x:v>us</x:v>
      </x:c>
      <x:c r="P159" s="37" t="str"/>
      <x:c r="Q159" s="37" t="n">
        <x:v>0</x:v>
      </x:c>
      <x:c r="R159" s="37" t="n">
        <x:v>0</x:v>
      </x:c>
      <x:c r="S159" s="37" t="n">
        <x:v>0</x:v>
      </x:c>
    </x:row>
    <x:row r="160">
      <x:c r="A160" s="36" t="n">
        <x:v>159</x:v>
      </x:c>
      <x:c r="B160" s="36" t="str">
        <x:v>HH09</x:v>
      </x:c>
      <x:c r="C160" s="36" t="n">
        <x:v>2007</x:v>
      </x:c>
      <x:c r="D160" s="37" t="str">
        <x:v>Blu &amp; Exile</x:v>
      </x:c>
      <x:c r="E160" s="37" t="str">
        <x:v>Dancing in the Rain</x:v>
      </x:c>
      <x:c r="F160" s="37" t="str">
        <x:v>original Below the Heavens album version</x:v>
      </x:c>
      <x:c r="G160" s="37" t="str">
        <x:v>Los Angeles</x:v>
      </x:c>
      <x:c r="H160" s="37" t="str">
        <x:v>independent; introspective; producer-MC</x:v>
      </x:c>
      <x:c r="I160" s="37" t="str">
        <x:v>Independent lyrical album craft beneath commercial surface</x:v>
      </x:c>
      <x:c r="J160" s="37" t="str">
        <x:v>provisional</x:v>
      </x:c>
      <x:c r="K160" s="37" t="str">
        <x:v>metadata_unverified</x:v>
      </x:c>
      <x:c r="L160" s="37" t="str">
        <x:v>soundcloud_unresolved</x:v>
      </x:c>
      <x:c r="M160" s="37" t="str"/>
      <x:c r="N160" s="37" t="str">
        <x:v>Connoisseur anchor</x:v>
      </x:c>
      <x:c r="O160" s="37" t="str">
        <x:v>us</x:v>
      </x:c>
      <x:c r="P160" s="37" t="str">
        <x:v>non_mc_role_or_live</x:v>
      </x:c>
      <x:c r="Q160" s="37" t="n">
        <x:v>0</x:v>
      </x:c>
      <x:c r="R160" s="37" t="n">
        <x:v>0</x:v>
      </x:c>
      <x:c r="S160" s="37" t="n">
        <x:v>1</x:v>
      </x:c>
    </x:row>
    <x:row r="161">
      <x:c r="A161" s="36" t="n">
        <x:v>160</x:v>
      </x:c>
      <x:c r="B161" s="36" t="str">
        <x:v>HH09</x:v>
      </x:c>
      <x:c r="C161" s="36" t="n">
        <x:v>2009</x:v>
      </x:c>
      <x:c r="D161" s="37" t="str">
        <x:v>Rye Rye featuring M.I.A.</x:v>
      </x:c>
      <x:c r="E161" s="37" t="str">
        <x:v>Bang</x:v>
      </x:c>
      <x:c r="F161" s="37" t="str">
        <x:v>original single version</x:v>
      </x:c>
      <x:c r="G161" s="37" t="str">
        <x:v>Baltimore</x:v>
      </x:c>
      <x:c r="H161" s="37" t="str">
        <x:v>women; Baltimore-club; dance; rap</x:v>
      </x:c>
      <x:c r="I161" s="37" t="str">
        <x:v>Baltimore club-rap exchange and teenage woman performance</x:v>
      </x:c>
      <x:c r="J161" s="37" t="str">
        <x:v>provisional</x:v>
      </x:c>
      <x:c r="K161" s="37" t="str">
        <x:v>metadata_unverified</x:v>
      </x:c>
      <x:c r="L161" s="37" t="str">
        <x:v>soundcloud_unresolved</x:v>
      </x:c>
      <x:c r="M161" s="37" t="str"/>
      <x:c r="N161" s="37" t="str">
        <x:v>Version and feature credit verify</x:v>
      </x:c>
      <x:c r="O161" s="37" t="str">
        <x:v>us</x:v>
      </x:c>
      <x:c r="P161" s="37" t="str">
        <x:v>women</x:v>
      </x:c>
      <x:c r="Q161" s="37" t="n">
        <x:v>1</x:v>
      </x:c>
      <x:c r="R161" s="37" t="n">
        <x:v>0</x:v>
      </x:c>
      <x:c r="S161" s="37" t="n">
        <x:v>0</x:v>
      </x:c>
    </x:row>
    <x:row r="162">
      <x:c r="A162" s="36" t="n">
        <x:v>161</x:v>
      </x:c>
      <x:c r="B162" s="36" t="str">
        <x:v>HH09</x:v>
      </x:c>
      <x:c r="C162" s="36" t="n">
        <x:v>2010</x:v>
      </x:c>
      <x:c r="D162" s="37" t="str">
        <x:v>Lil B</x:v>
      </x:c>
      <x:c r="E162" s="37" t="str">
        <x:v>Wonton Soup</x:v>
      </x:c>
      <x:c r="F162" s="37" t="str">
        <x:v>original internet release</x:v>
      </x:c>
      <x:c r="G162" s="37" t="str">
        <x:v>Bay Area</x:v>
      </x:c>
      <x:c r="H162" s="37" t="str">
        <x:v>cloud-precursor; internet; persona</x:v>
      </x:c>
      <x:c r="I162" s="37" t="str">
        <x:v>Abundance altered persona and anti-gatekeeping circulation</x:v>
      </x:c>
      <x:c r="J162" s="37" t="str">
        <x:v>provisional</x:v>
      </x:c>
      <x:c r="K162" s="37" t="str">
        <x:v>metadata_unverified</x:v>
      </x:c>
      <x:c r="L162" s="37" t="str">
        <x:v>soundcloud_unresolved</x:v>
      </x:c>
      <x:c r="M162" s="37" t="str"/>
      <x:c r="N162" s="37" t="str">
        <x:v>Exact original upload provenance difficult</x:v>
      </x:c>
      <x:c r="O162" s="37" t="str">
        <x:v>us</x:v>
      </x:c>
      <x:c r="P162" s="37" t="str"/>
      <x:c r="Q162" s="37" t="n">
        <x:v>0</x:v>
      </x:c>
      <x:c r="R162" s="37" t="n">
        <x:v>0</x:v>
      </x:c>
      <x:c r="S162" s="37" t="n">
        <x:v>0</x:v>
      </x:c>
    </x:row>
    <x:row r="163">
      <x:c r="A163" s="36" t="n">
        <x:v>162</x:v>
      </x:c>
      <x:c r="B163" s="36" t="str">
        <x:v>HH09</x:v>
      </x:c>
      <x:c r="C163" s="36" t="n">
        <x:v>2007</x:v>
      </x:c>
      <x:c r="D163" s="37" t="str">
        <x:v>Giggs</x:v>
      </x:c>
      <x:c r="E163" s="37" t="str">
        <x:v>Talkin da Hardest</x:v>
      </x:c>
      <x:c r="F163" s="37" t="str">
        <x:v>original freestyle/mixtape version</x:v>
      </x:c>
      <x:c r="G163" s="37" t="str">
        <x:v>London / United Kingdom</x:v>
      </x:c>
      <x:c r="H163" s="37" t="str">
        <x:v>road-rap; UK-rap; street</x:v>
      </x:c>
      <x:c r="I163" s="37" t="str">
        <x:v>British road-rap cadence and independent circulation</x:v>
      </x:c>
      <x:c r="J163" s="37" t="str">
        <x:v>provisional</x:v>
      </x:c>
      <x:c r="K163" s="37" t="str">
        <x:v>metadata_unverified</x:v>
      </x:c>
      <x:c r="L163" s="37" t="str">
        <x:v>soundcloud_unresolved</x:v>
      </x:c>
      <x:c r="M163" s="37" t="str"/>
      <x:c r="N163" s="37" t="str">
        <x:v>Version/source audit required</x:v>
      </x:c>
      <x:c r="O163" s="37" t="str">
        <x:v>transnational_or_non_us</x:v>
      </x:c>
      <x:c r="P163" s="37" t="str"/>
      <x:c r="Q163" s="37" t="n">
        <x:v>0</x:v>
      </x:c>
      <x:c r="R163" s="37" t="n">
        <x:v>0</x:v>
      </x:c>
      <x:c r="S163" s="37" t="n">
        <x:v>0</x:v>
      </x:c>
    </x:row>
    <x:row r="164">
      <x:c r="A164" s="36" t="n">
        <x:v>163</x:v>
      </x:c>
      <x:c r="B164" s="36" t="str">
        <x:v>HH09</x:v>
      </x:c>
      <x:c r="C164" s="36" t="n">
        <x:v>2010</x:v>
      </x:c>
      <x:c r="D164" s="37" t="str">
        <x:v>Ana Tijoux</x:v>
      </x:c>
      <x:c r="E164" s="37" t="str">
        <x:v>1977</x:v>
      </x:c>
      <x:c r="F164" s="37" t="str">
        <x:v>original 1977 album version</x:v>
      </x:c>
      <x:c r="G164" s="37" t="str">
        <x:v>Chile</x:v>
      </x:c>
      <x:c r="H164" s="37" t="str">
        <x:v>women; Chilean-rap; Spanish-language; autobiography</x:v>
      </x:c>
      <x:c r="I164" s="37" t="str">
        <x:v>Chilean autobiographical rap and transnational return narrative</x:v>
      </x:c>
      <x:c r="J164" s="37" t="str">
        <x:v>provisional</x:v>
      </x:c>
      <x:c r="K164" s="37" t="str">
        <x:v>metadata_unverified</x:v>
      </x:c>
      <x:c r="L164" s="37" t="str">
        <x:v>soundcloud_unresolved</x:v>
      </x:c>
      <x:c r="M164" s="37" t="str"/>
      <x:c r="N164" s="37" t="str">
        <x:v>Translation and exact issue verify</x:v>
      </x:c>
      <x:c r="O164" s="37" t="str">
        <x:v>us</x:v>
      </x:c>
      <x:c r="P164" s="37" t="str">
        <x:v>women</x:v>
      </x:c>
      <x:c r="Q164" s="37" t="n">
        <x:v>1</x:v>
      </x:c>
      <x:c r="R164" s="37" t="n">
        <x:v>0</x:v>
      </x:c>
      <x:c r="S164" s="37" t="n">
        <x:v>0</x:v>
      </x:c>
    </x:row>
    <x:row r="165">
      <x:c r="A165" s="36" t="n">
        <x:v>164</x:v>
      </x:c>
      <x:c r="B165" s="36" t="str">
        <x:v>HH09</x:v>
      </x:c>
      <x:c r="C165" s="36" t="n">
        <x:v>2008</x:v>
      </x:c>
      <x:c r="D165" s="37" t="str">
        <x:v>Ben Sharpa</x:v>
      </x:c>
      <x:c r="E165" s="37" t="str">
        <x:v>Hegemony</x:v>
      </x:c>
      <x:c r="F165" s="37" t="str">
        <x:v>original B. Sharpa album version</x:v>
      </x:c>
      <x:c r="G165" s="37" t="str">
        <x:v>Cape Town / South Africa</x:v>
      </x:c>
      <x:c r="H165" s="37" t="str">
        <x:v>African-hip-hop; electronic; political</x:v>
      </x:c>
      <x:c r="I165" s="37" t="str">
        <x:v>South African political abstraction over severe electronics</x:v>
      </x:c>
      <x:c r="J165" s="37" t="str">
        <x:v>provisional</x:v>
      </x:c>
      <x:c r="K165" s="37" t="str">
        <x:v>metadata_unverified</x:v>
      </x:c>
      <x:c r="L165" s="37" t="str">
        <x:v>soundcloud_unresolved</x:v>
      </x:c>
      <x:c r="M165" s="37" t="str"/>
      <x:c r="N165" s="37" t="str">
        <x:v>Release/source verify</x:v>
      </x:c>
      <x:c r="O165" s="37" t="str">
        <x:v>transnational_or_non_us</x:v>
      </x:c>
      <x:c r="P165" s="37" t="str"/>
      <x:c r="Q165" s="37" t="n">
        <x:v>0</x:v>
      </x:c>
      <x:c r="R165" s="37" t="n">
        <x:v>0</x:v>
      </x:c>
      <x:c r="S165" s="37" t="n">
        <x:v>0</x:v>
      </x:c>
    </x:row>
    <x:row r="166">
      <x:c r="A166" s="36" t="n">
        <x:v>165</x:v>
      </x:c>
      <x:c r="B166" s="36" t="str">
        <x:v>HH09</x:v>
      </x:c>
      <x:c r="C166" s="36" t="n">
        <x:v>2010</x:v>
      </x:c>
      <x:c r="D166" s="37" t="str">
        <x:v>Shadia Mansour featuring M-1</x:v>
      </x:c>
      <x:c r="E166" s="37" t="str">
        <x:v>Al Kufiyyeh 3Arabeyyeh</x:v>
      </x:c>
      <x:c r="F166" s="37" t="str">
        <x:v>original version</x:v>
      </x:c>
      <x:c r="G166" s="37" t="str">
        <x:v>Palestine / United Kingdom</x:v>
      </x:c>
      <x:c r="H166" s="37" t="str">
        <x:v>Arabic-rap; diaspora; political</x:v>
      </x:c>
      <x:c r="I166" s="37" t="str">
        <x:v>Arabic flow diaspora and Palestinian political symbol</x:v>
      </x:c>
      <x:c r="J166" s="37" t="str">
        <x:v>provisional</x:v>
      </x:c>
      <x:c r="K166" s="37" t="str">
        <x:v>metadata_unverified</x:v>
      </x:c>
      <x:c r="L166" s="37" t="str">
        <x:v>soundcloud_unresolved</x:v>
      </x:c>
      <x:c r="M166" s="37" t="str"/>
      <x:c r="N166" s="37" t="str">
        <x:v>Transliteration/version verification required</x:v>
      </x:c>
      <x:c r="O166" s="37" t="str">
        <x:v>transnational_or_non_us</x:v>
      </x:c>
      <x:c r="P166" s="37" t="str"/>
      <x:c r="Q166" s="37" t="n">
        <x:v>0</x:v>
      </x:c>
      <x:c r="R166" s="37" t="n">
        <x:v>0</x:v>
      </x:c>
      <x:c r="S166" s="37" t="n">
        <x:v>0</x:v>
      </x:c>
    </x:row>
    <x:row r="167">
      <x:c r="A167" s="36" t="n">
        <x:v>166</x:v>
      </x:c>
      <x:c r="B167" s="36" t="str">
        <x:v>HH09</x:v>
      </x:c>
      <x:c r="C167" s="36" t="n">
        <x:v>2008</x:v>
      </x:c>
      <x:c r="D167" s="37" t="str">
        <x:v>Emicida</x:v>
      </x:c>
      <x:c r="E167" s="37" t="str">
        <x:v>Triunfo</x:v>
      </x:c>
      <x:c r="F167" s="37" t="str">
        <x:v>original mixtape/single version</x:v>
      </x:c>
      <x:c r="G167" s="37" t="str">
        <x:v>São Paulo / Brazil</x:v>
      </x:c>
      <x:c r="H167" s="37" t="str">
        <x:v>Brazilian-rap; battle; independent</x:v>
      </x:c>
      <x:c r="I167" s="37" t="str">
        <x:v>Battle circuit and independent Brazilian breakthrough</x:v>
      </x:c>
      <x:c r="J167" s="37" t="str">
        <x:v>provisional</x:v>
      </x:c>
      <x:c r="K167" s="37" t="str">
        <x:v>metadata_unverified</x:v>
      </x:c>
      <x:c r="L167" s="37" t="str">
        <x:v>soundcloud_unresolved</x:v>
      </x:c>
      <x:c r="M167" s="37" t="str"/>
      <x:c r="N167" s="37" t="str">
        <x:v>Original release provenance required</x:v>
      </x:c>
      <x:c r="O167" s="37" t="str">
        <x:v>transnational_or_non_us</x:v>
      </x:c>
      <x:c r="P167" s="37" t="str"/>
      <x:c r="Q167" s="37" t="n">
        <x:v>0</x:v>
      </x:c>
      <x:c r="R167" s="37" t="n">
        <x:v>0</x:v>
      </x:c>
      <x:c r="S167" s="37" t="n">
        <x:v>0</x:v>
      </x:c>
    </x:row>
    <x:row r="168">
      <x:c r="A168" s="36" t="n">
        <x:v>167</x:v>
      </x:c>
      <x:c r="B168" s="36" t="str">
        <x:v>HH10</x:v>
      </x:c>
      <x:c r="C168" s="36" t="n">
        <x:v>2012</x:v>
      </x:c>
      <x:c r="D168" s="37" t="str">
        <x:v>Chief Keef featuring Lil Reese</x:v>
      </x:c>
      <x:c r="E168" s="37" t="str">
        <x:v>I Don't Like</x:v>
      </x:c>
      <x:c r="F168" s="37" t="str">
        <x:v>original Back from the Dead version</x:v>
      </x:c>
      <x:c r="G168" s="37" t="str">
        <x:v>Chicago</x:v>
      </x:c>
      <x:c r="H168" s="37" t="str">
        <x:v>Chicago-drill; internet; youth</x:v>
      </x:c>
      <x:c r="I168" s="37" t="str">
        <x:v>Drill minimalism repetition and decentralized breakthrough</x:v>
      </x:c>
      <x:c r="J168" s="37" t="str">
        <x:v>provisional</x:v>
      </x:c>
      <x:c r="K168" s="37" t="str">
        <x:v>metadata_unverified</x:v>
      </x:c>
      <x:c r="L168" s="37" t="str">
        <x:v>soundcloud_unresolved</x:v>
      </x:c>
      <x:c r="M168" s="37" t="str"/>
      <x:c r="N168" s="37" t="str">
        <x:v>Do not default to Kanye remix</x:v>
      </x:c>
      <x:c r="O168" s="37" t="str">
        <x:v>us</x:v>
      </x:c>
      <x:c r="P168" s="37" t="str"/>
      <x:c r="Q168" s="37" t="n">
        <x:v>0</x:v>
      </x:c>
      <x:c r="R168" s="37" t="n">
        <x:v>0</x:v>
      </x:c>
      <x:c r="S168" s="37" t="n">
        <x:v>0</x:v>
      </x:c>
    </x:row>
    <x:row r="169">
      <x:c r="A169" s="36" t="n">
        <x:v>168</x:v>
      </x:c>
      <x:c r="B169" s="36" t="str">
        <x:v>HH10</x:v>
      </x:c>
      <x:c r="C169" s="36" t="n">
        <x:v>2012</x:v>
      </x:c>
      <x:c r="D169" s="37" t="str">
        <x:v>Angel Haze</x:v>
      </x:c>
      <x:c r="E169" s="37" t="str">
        <x:v>Werkin' Girls</x:v>
      </x:c>
      <x:c r="F169" s="37" t="str">
        <x:v>original Reservation mixtape version</x:v>
      </x:c>
      <x:c r="G169" s="37" t="str">
        <x:v>Detroit / New York</x:v>
      </x:c>
      <x:c r="H169" s="37" t="str">
        <x:v>women; queer; battle; mixtape</x:v>
      </x:c>
      <x:c r="I169" s="37" t="str">
        <x:v>Queer woman technical aggression and mixtape-era internet circulation</x:v>
      </x:c>
      <x:c r="J169" s="37" t="str">
        <x:v>provisional</x:v>
      </x:c>
      <x:c r="K169" s="37" t="str">
        <x:v>metadata_unverified</x:v>
      </x:c>
      <x:c r="L169" s="37" t="str">
        <x:v>soundcloud_unresolved</x:v>
      </x:c>
      <x:c r="M169" s="37" t="str"/>
      <x:c r="N169" s="37" t="str">
        <x:v>Original mixtape master and artist context</x:v>
      </x:c>
      <x:c r="O169" s="37" t="str">
        <x:v>us</x:v>
      </x:c>
      <x:c r="P169" s="37" t="str">
        <x:v>women;queer</x:v>
      </x:c>
      <x:c r="Q169" s="37" t="n">
        <x:v>1</x:v>
      </x:c>
      <x:c r="R169" s="37" t="n">
        <x:v>1</x:v>
      </x:c>
      <x:c r="S169" s="37" t="n">
        <x:v>0</x:v>
      </x:c>
    </x:row>
    <x:row r="170">
      <x:c r="A170" s="36" t="n">
        <x:v>169</x:v>
      </x:c>
      <x:c r="B170" s="36" t="str">
        <x:v>HH10</x:v>
      </x:c>
      <x:c r="C170" s="36" t="n">
        <x:v>2014</x:v>
      </x:c>
      <x:c r="D170" s="37" t="str">
        <x:v>Future</x:v>
      </x:c>
      <x:c r="E170" s="37" t="str">
        <x:v>Codeine Crazy</x:v>
      </x:c>
      <x:c r="F170" s="37" t="str">
        <x:v>original Monster mixtape version</x:v>
      </x:c>
      <x:c r="G170" s="37" t="str">
        <x:v>Atlanta</x:v>
      </x:c>
      <x:c r="H170" s="37" t="str">
        <x:v>trap; Auto-Tune; interiority</x:v>
      </x:c>
      <x:c r="I170" s="37" t="str">
        <x:v>Melodic trap grief intoxication and long-form escalation</x:v>
      </x:c>
      <x:c r="J170" s="37" t="str">
        <x:v>provisional</x:v>
      </x:c>
      <x:c r="K170" s="37" t="str">
        <x:v>metadata_unverified</x:v>
      </x:c>
      <x:c r="L170" s="37" t="str">
        <x:v>soundcloud_unresolved</x:v>
      </x:c>
      <x:c r="M170" s="37" t="str"/>
      <x:c r="N170" s="37" t="str">
        <x:v>Exact mixtape version</x:v>
      </x:c>
      <x:c r="O170" s="37" t="str">
        <x:v>us</x:v>
      </x:c>
      <x:c r="P170" s="37" t="str"/>
      <x:c r="Q170" s="37" t="n">
        <x:v>0</x:v>
      </x:c>
      <x:c r="R170" s="37" t="n">
        <x:v>0</x:v>
      </x:c>
      <x:c r="S170" s="37" t="n">
        <x:v>0</x:v>
      </x:c>
    </x:row>
    <x:row r="171">
      <x:c r="A171" s="36" t="n">
        <x:v>170</x:v>
      </x:c>
      <x:c r="B171" s="36" t="str">
        <x:v>HH10</x:v>
      </x:c>
      <x:c r="C171" s="36" t="n">
        <x:v>2014</x:v>
      </x:c>
      <x:c r="D171" s="37" t="str">
        <x:v>Rich Gang featuring Young Thug and Rich Homie Quan</x:v>
      </x:c>
      <x:c r="E171" s="37" t="str">
        <x:v>Lifestyle</x:v>
      </x:c>
      <x:c r="F171" s="37" t="str">
        <x:v>original single version</x:v>
      </x:c>
      <x:c r="G171" s="37" t="str">
        <x:v>Atlanta</x:v>
      </x:c>
      <x:c r="H171" s="37" t="str">
        <x:v>melodic-trap; vocal-timbre; producer</x:v>
      </x:c>
      <x:c r="I171" s="37" t="str">
        <x:v>Voice as elastic timbre and post-lexical hook</x:v>
      </x:c>
      <x:c r="J171" s="37" t="str">
        <x:v>provisional</x:v>
      </x:c>
      <x:c r="K171" s="37" t="str">
        <x:v>metadata_unverified</x:v>
      </x:c>
      <x:c r="L171" s="37" t="str">
        <x:v>soundcloud_unresolved</x:v>
      </x:c>
      <x:c r="M171" s="37" t="str"/>
      <x:c r="N171" s="37" t="str">
        <x:v>Credit exact featured artists</x:v>
      </x:c>
      <x:c r="O171" s="37" t="str">
        <x:v>us</x:v>
      </x:c>
      <x:c r="P171" s="37" t="str">
        <x:v>non_mc_role_or_live</x:v>
      </x:c>
      <x:c r="Q171" s="37" t="n">
        <x:v>0</x:v>
      </x:c>
      <x:c r="R171" s="37" t="n">
        <x:v>0</x:v>
      </x:c>
      <x:c r="S171" s="37" t="n">
        <x:v>1</x:v>
      </x:c>
    </x:row>
    <x:row r="172">
      <x:c r="A172" s="36" t="n">
        <x:v>171</x:v>
      </x:c>
      <x:c r="B172" s="36" t="str">
        <x:v>HH10</x:v>
      </x:c>
      <x:c r="C172" s="36" t="n">
        <x:v>2014</x:v>
      </x:c>
      <x:c r="D172" s="37" t="str">
        <x:v>Migos</x:v>
      </x:c>
      <x:c r="E172" s="37" t="str">
        <x:v>Fight Night</x:v>
      </x:c>
      <x:c r="F172" s="37" t="str">
        <x:v>original No Label 2 mixtape version</x:v>
      </x:c>
      <x:c r="G172" s="37" t="str">
        <x:v>Atlanta</x:v>
      </x:c>
      <x:c r="H172" s="37" t="str">
        <x:v>triplet-flow; trap; trio</x:v>
      </x:c>
      <x:c r="I172" s="37" t="str">
        <x:v>Interlocking trio rhythm beyond reductive triplet label</x:v>
      </x:c>
      <x:c r="J172" s="37" t="str">
        <x:v>provisional</x:v>
      </x:c>
      <x:c r="K172" s="37" t="str">
        <x:v>metadata_unverified</x:v>
      </x:c>
      <x:c r="L172" s="37" t="str">
        <x:v>soundcloud_unresolved</x:v>
      </x:c>
      <x:c r="M172" s="37" t="str"/>
      <x:c r="N172" s="37" t="str">
        <x:v>Mixtape master preferred</x:v>
      </x:c>
      <x:c r="O172" s="37" t="str">
        <x:v>us</x:v>
      </x:c>
      <x:c r="P172" s="37" t="str"/>
      <x:c r="Q172" s="37" t="n">
        <x:v>0</x:v>
      </x:c>
      <x:c r="R172" s="37" t="n">
        <x:v>0</x:v>
      </x:c>
      <x:c r="S172" s="37" t="n">
        <x:v>0</x:v>
      </x:c>
    </x:row>
    <x:row r="173">
      <x:c r="A173" s="36" t="n">
        <x:v>172</x:v>
      </x:c>
      <x:c r="B173" s="36" t="str">
        <x:v>HH10</x:v>
      </x:c>
      <x:c r="C173" s="36" t="n">
        <x:v>2012</x:v>
      </x:c>
      <x:c r="D173" s="37" t="str">
        <x:v>Kendrick Lamar</x:v>
      </x:c>
      <x:c r="E173" s="37" t="str">
        <x:v>Sing About Me, I'm Dying of Thirst</x:v>
      </x:c>
      <x:c r="F173" s="37" t="str">
        <x:v>original good kid m.A.A.d city album version</x:v>
      </x:c>
      <x:c r="G173" s="37" t="str">
        <x:v>Compton / California</x:v>
      </x:c>
      <x:c r="H173" s="37" t="str">
        <x:v>narrative; concept-album; message</x:v>
      </x:c>
      <x:c r="I173" s="37" t="str">
        <x:v>Multiple narrated voices moral argument and album-scale form</x:v>
      </x:c>
      <x:c r="J173" s="37" t="str">
        <x:v>provisional</x:v>
      </x:c>
      <x:c r="K173" s="37" t="str">
        <x:v>metadata_unverified</x:v>
      </x:c>
      <x:c r="L173" s="37" t="str">
        <x:v>soundcloud_unresolved</x:v>
      </x:c>
      <x:c r="M173" s="37" t="str"/>
      <x:c r="N173" s="37" t="str">
        <x:v>Long-form anchor</x:v>
      </x:c>
      <x:c r="O173" s="37" t="str">
        <x:v>us</x:v>
      </x:c>
      <x:c r="P173" s="37" t="str"/>
      <x:c r="Q173" s="37" t="n">
        <x:v>0</x:v>
      </x:c>
      <x:c r="R173" s="37" t="n">
        <x:v>0</x:v>
      </x:c>
      <x:c r="S173" s="37" t="n">
        <x:v>0</x:v>
      </x:c>
    </x:row>
    <x:row r="174">
      <x:c r="A174" s="36" t="n">
        <x:v>173</x:v>
      </x:c>
      <x:c r="B174" s="36" t="str">
        <x:v>HH10</x:v>
      </x:c>
      <x:c r="C174" s="36" t="n">
        <x:v>2014</x:v>
      </x:c>
      <x:c r="D174" s="37" t="str">
        <x:v>Run the Jewels featuring Zack de la Rocha</x:v>
      </x:c>
      <x:c r="E174" s="37" t="str">
        <x:v>Close Your Eyes (And Count to F***)</x:v>
      </x:c>
      <x:c r="F174" s="37" t="str">
        <x:v>original RTJ2 version</x:v>
      </x:c>
      <x:c r="G174" s="37" t="str">
        <x:v>United States</x:v>
      </x:c>
      <x:c r="H174" s="37" t="str">
        <x:v>political; industrial; duo</x:v>
      </x:c>
      <x:c r="I174" s="37" t="str">
        <x:v>Physical production and adversarial political exchange</x:v>
      </x:c>
      <x:c r="J174" s="37" t="str">
        <x:v>provisional</x:v>
      </x:c>
      <x:c r="K174" s="37" t="str">
        <x:v>metadata_unverified</x:v>
      </x:c>
      <x:c r="L174" s="37" t="str">
        <x:v>soundcloud_unresolved</x:v>
      </x:c>
      <x:c r="M174" s="37" t="str"/>
      <x:c r="N174" s="37" t="str">
        <x:v>Explicit title preserved</x:v>
      </x:c>
      <x:c r="O174" s="37" t="str">
        <x:v>us</x:v>
      </x:c>
      <x:c r="P174" s="37" t="str"/>
      <x:c r="Q174" s="37" t="n">
        <x:v>0</x:v>
      </x:c>
      <x:c r="R174" s="37" t="n">
        <x:v>0</x:v>
      </x:c>
      <x:c r="S174" s="37" t="n">
        <x:v>0</x:v>
      </x:c>
    </x:row>
    <x:row r="175">
      <x:c r="A175" s="36" t="n">
        <x:v>174</x:v>
      </x:c>
      <x:c r="B175" s="36" t="str">
        <x:v>HH10</x:v>
      </x:c>
      <x:c r="C175" s="36" t="n">
        <x:v>2012</x:v>
      </x:c>
      <x:c r="D175" s="37" t="str">
        <x:v>Death Grips</x:v>
      </x:c>
      <x:c r="E175" s="37" t="str">
        <x:v>Get Got</x:v>
      </x:c>
      <x:c r="F175" s="37" t="str">
        <x:v>original The Money Store album version</x:v>
      </x:c>
      <x:c r="G175" s="37" t="str">
        <x:v>Sacramento / California</x:v>
      </x:c>
      <x:c r="H175" s="37" t="str">
        <x:v>industrial; experimental; punk-exchange</x:v>
      </x:c>
      <x:c r="I175" s="37" t="str">
        <x:v>Compressed vocal percussion noise and genre collision</x:v>
      </x:c>
      <x:c r="J175" s="37" t="str">
        <x:v>provisional</x:v>
      </x:c>
      <x:c r="K175" s="37" t="str">
        <x:v>metadata_unverified</x:v>
      </x:c>
      <x:c r="L175" s="37" t="str">
        <x:v>soundcloud_unresolved</x:v>
      </x:c>
      <x:c r="M175" s="37" t="str"/>
      <x:c r="N175" s="37" t="str">
        <x:v>Boundary route</x:v>
      </x:c>
      <x:c r="O175" s="37" t="str">
        <x:v>us</x:v>
      </x:c>
      <x:c r="P175" s="37" t="str"/>
      <x:c r="Q175" s="37" t="n">
        <x:v>0</x:v>
      </x:c>
      <x:c r="R175" s="37" t="n">
        <x:v>0</x:v>
      </x:c>
      <x:c r="S175" s="37" t="n">
        <x:v>0</x:v>
      </x:c>
    </x:row>
    <x:row r="176">
      <x:c r="A176" s="36" t="n">
        <x:v>175</x:v>
      </x:c>
      <x:c r="B176" s="36" t="str">
        <x:v>HH10</x:v>
      </x:c>
      <x:c r="C176" s="36" t="n">
        <x:v>2016</x:v>
      </x:c>
      <x:c r="D176" s="37" t="str">
        <x:v>Danny Brown</x:v>
      </x:c>
      <x:c r="E176" s="37" t="str">
        <x:v>Ain't It Funny</x:v>
      </x:c>
      <x:c r="F176" s="37" t="str">
        <x:v>original Atrocity Exhibition version</x:v>
      </x:c>
      <x:c r="G176" s="37" t="str">
        <x:v>Detroit</x:v>
      </x:c>
      <x:c r="H176" s="37" t="str">
        <x:v>experimental; narrative; post-punk-sample</x:v>
      </x:c>
      <x:c r="I176" s="37" t="str">
        <x:v>Addiction narrative inside deliberately destabilizing production</x:v>
      </x:c>
      <x:c r="J176" s="37" t="str">
        <x:v>provisional</x:v>
      </x:c>
      <x:c r="K176" s="37" t="str">
        <x:v>metadata_unverified</x:v>
      </x:c>
      <x:c r="L176" s="37" t="str">
        <x:v>soundcloud_unresolved</x:v>
      </x:c>
      <x:c r="M176" s="37" t="str"/>
      <x:c r="N176" s="37" t="str">
        <x:v>Potentially strong Tom challenge</x:v>
      </x:c>
      <x:c r="O176" s="37" t="str">
        <x:v>us</x:v>
      </x:c>
      <x:c r="P176" s="37" t="str"/>
      <x:c r="Q176" s="37" t="n">
        <x:v>0</x:v>
      </x:c>
      <x:c r="R176" s="37" t="n">
        <x:v>0</x:v>
      </x:c>
      <x:c r="S176" s="37" t="n">
        <x:v>0</x:v>
      </x:c>
    </x:row>
    <x:row r="177">
      <x:c r="A177" s="36" t="n">
        <x:v>176</x:v>
      </x:c>
      <x:c r="B177" s="36" t="str">
        <x:v>HH10</x:v>
      </x:c>
      <x:c r="C177" s="36" t="n">
        <x:v>2015</x:v>
      </x:c>
      <x:c r="D177" s="37" t="str">
        <x:v>Earl Sweatshirt</x:v>
      </x:c>
      <x:c r="E177" s="37" t="str">
        <x:v>Grief</x:v>
      </x:c>
      <x:c r="F177" s="37" t="str">
        <x:v>original I Don't Like Shit album version</x:v>
      </x:c>
      <x:c r="G177" s="37" t="str">
        <x:v>Los Angeles</x:v>
      </x:c>
      <x:c r="H177" s="37" t="str">
        <x:v>abstract; lo-fi; introspective</x:v>
      </x:c>
      <x:c r="I177" s="37" t="str">
        <x:v>Depressive spatial production and fractured writing</x:v>
      </x:c>
      <x:c r="J177" s="37" t="str">
        <x:v>provisional</x:v>
      </x:c>
      <x:c r="K177" s="37" t="str">
        <x:v>metadata_unverified</x:v>
      </x:c>
      <x:c r="L177" s="37" t="str">
        <x:v>soundcloud_unresolved</x:v>
      </x:c>
      <x:c r="M177" s="37" t="str"/>
      <x:c r="N177" s="37" t="str">
        <x:v>Compare to earlier internet persona</x:v>
      </x:c>
      <x:c r="O177" s="37" t="str">
        <x:v>us</x:v>
      </x:c>
      <x:c r="P177" s="37" t="str"/>
      <x:c r="Q177" s="37" t="n">
        <x:v>0</x:v>
      </x:c>
      <x:c r="R177" s="37" t="n">
        <x:v>0</x:v>
      </x:c>
      <x:c r="S177" s="37" t="n">
        <x:v>0</x:v>
      </x:c>
    </x:row>
    <x:row r="178">
      <x:c r="A178" s="36" t="n">
        <x:v>177</x:v>
      </x:c>
      <x:c r="B178" s="36" t="str">
        <x:v>HH10</x:v>
      </x:c>
      <x:c r="C178" s="36" t="n">
        <x:v>2015</x:v>
      </x:c>
      <x:c r="D178" s="37" t="str">
        <x:v>Vince Staples</x:v>
      </x:c>
      <x:c r="E178" s="37" t="str">
        <x:v>Norf Norf</x:v>
      </x:c>
      <x:c r="F178" s="37" t="str">
        <x:v>original Summertime '06 album version</x:v>
      </x:c>
      <x:c r="G178" s="37" t="str">
        <x:v>Long Beach / California</x:v>
      </x:c>
      <x:c r="H178" s="37" t="str">
        <x:v>West-Coast; minimal; street-reportage</x:v>
      </x:c>
      <x:c r="I178" s="37" t="str">
        <x:v>Dry documentary voice over skeletal modern production</x:v>
      </x:c>
      <x:c r="J178" s="37" t="str">
        <x:v>provisional</x:v>
      </x:c>
      <x:c r="K178" s="37" t="str">
        <x:v>metadata_unverified</x:v>
      </x:c>
      <x:c r="L178" s="37" t="str">
        <x:v>soundcloud_unresolved</x:v>
      </x:c>
      <x:c r="M178" s="37" t="str"/>
      <x:c r="N178" s="37" t="str">
        <x:v>Canonical modern lyricism</x:v>
      </x:c>
      <x:c r="O178" s="37" t="str">
        <x:v>us</x:v>
      </x:c>
      <x:c r="P178" s="37" t="str"/>
      <x:c r="Q178" s="37" t="n">
        <x:v>0</x:v>
      </x:c>
      <x:c r="R178" s="37" t="n">
        <x:v>0</x:v>
      </x:c>
      <x:c r="S178" s="37" t="n">
        <x:v>0</x:v>
      </x:c>
    </x:row>
    <x:row r="179">
      <x:c r="A179" s="36" t="n">
        <x:v>178</x:v>
      </x:c>
      <x:c r="B179" s="36" t="str">
        <x:v>HH10</x:v>
      </x:c>
      <x:c r="C179" s="36" t="n">
        <x:v>2016</x:v>
      </x:c>
      <x:c r="D179" s="37" t="str">
        <x:v>Rapsody</x:v>
      </x:c>
      <x:c r="E179" s="37" t="str">
        <x:v>Crown</x:v>
      </x:c>
      <x:c r="F179" s="37" t="str">
        <x:v>original Crown EP version</x:v>
      </x:c>
      <x:c r="G179" s="37" t="str">
        <x:v>North Carolina</x:v>
      </x:c>
      <x:c r="H179" s="37" t="str">
        <x:v>women; lyrical; political</x:v>
      </x:c>
      <x:c r="I179" s="37" t="str">
        <x:v>Contemporary lyricism Black womanhood and historical address</x:v>
      </x:c>
      <x:c r="J179" s="37" t="str">
        <x:v>provisional</x:v>
      </x:c>
      <x:c r="K179" s="37" t="str">
        <x:v>metadata_unverified</x:v>
      </x:c>
      <x:c r="L179" s="37" t="str">
        <x:v>soundcloud_unresolved</x:v>
      </x:c>
      <x:c r="M179" s="37" t="str"/>
      <x:c r="N179" s="37" t="str">
        <x:v>Exact EP master</x:v>
      </x:c>
      <x:c r="O179" s="37" t="str">
        <x:v>us</x:v>
      </x:c>
      <x:c r="P179" s="37" t="str">
        <x:v>women</x:v>
      </x:c>
      <x:c r="Q179" s="37" t="n">
        <x:v>1</x:v>
      </x:c>
      <x:c r="R179" s="37" t="n">
        <x:v>0</x:v>
      </x:c>
      <x:c r="S179" s="37" t="n">
        <x:v>0</x:v>
      </x:c>
    </x:row>
    <x:row r="180">
      <x:c r="A180" s="36" t="n">
        <x:v>179</x:v>
      </x:c>
      <x:c r="B180" s="36" t="str">
        <x:v>HH10</x:v>
      </x:c>
      <x:c r="C180" s="36" t="n">
        <x:v>2014</x:v>
      </x:c>
      <x:c r="D180" s="37" t="str">
        <x:v>J. Cole</x:v>
      </x:c>
      <x:c r="E180" s="37" t="str">
        <x:v>Love Yourz</x:v>
      </x:c>
      <x:c r="F180" s="37" t="str">
        <x:v>original 2014 Forest Hills Drive album version</x:v>
      </x:c>
      <x:c r="G180" s="37" t="str">
        <x:v>North Carolina</x:v>
      </x:c>
      <x:c r="H180" s="37" t="str">
        <x:v>lyrical; message; mainstream</x:v>
      </x:c>
      <x:c r="I180" s="37" t="str">
        <x:v>A mainstream moral argument about desire success and sufficiency</x:v>
      </x:c>
      <x:c r="J180" s="37" t="str">
        <x:v>provisional</x:v>
      </x:c>
      <x:c r="K180" s="37" t="str">
        <x:v>metadata_unverified</x:v>
      </x:c>
      <x:c r="L180" s="37" t="str">
        <x:v>soundcloud_unresolved</x:v>
      </x:c>
      <x:c r="M180" s="37" t="str"/>
      <x:c r="N180" s="37" t="str">
        <x:v>Potential Tom route</x:v>
      </x:c>
      <x:c r="O180" s="37" t="str">
        <x:v>us</x:v>
      </x:c>
      <x:c r="P180" s="37" t="str"/>
      <x:c r="Q180" s="37" t="n">
        <x:v>0</x:v>
      </x:c>
      <x:c r="R180" s="37" t="n">
        <x:v>0</x:v>
      </x:c>
      <x:c r="S180" s="37" t="n">
        <x:v>0</x:v>
      </x:c>
    </x:row>
    <x:row r="181">
      <x:c r="A181" s="36" t="n">
        <x:v>180</x:v>
      </x:c>
      <x:c r="B181" s="36" t="str">
        <x:v>HH10</x:v>
      </x:c>
      <x:c r="C181" s="36" t="n">
        <x:v>2011</x:v>
      </x:c>
      <x:c r="D181" s="37" t="str">
        <x:v>Azealia Banks featuring Lazy Jay</x:v>
      </x:c>
      <x:c r="E181" s="37" t="str">
        <x:v>212</x:v>
      </x:c>
      <x:c r="F181" s="37" t="str">
        <x:v>original single version</x:v>
      </x:c>
      <x:c r="G181" s="37" t="str">
        <x:v>Harlem / New York</x:v>
      </x:c>
      <x:c r="H181" s="37" t="str">
        <x:v>women; queer; house-exchange</x:v>
      </x:c>
      <x:c r="I181" s="37" t="str">
        <x:v>Rap-house exchange virtuoso rhythmic switching and queer club energy</x:v>
      </x:c>
      <x:c r="J181" s="37" t="str">
        <x:v>provisional</x:v>
      </x:c>
      <x:c r="K181" s="37" t="str">
        <x:v>metadata_unverified</x:v>
      </x:c>
      <x:c r="L181" s="37" t="str">
        <x:v>soundcloud_unresolved</x:v>
      </x:c>
      <x:c r="M181" s="37" t="str"/>
      <x:c r="N181" s="37" t="str">
        <x:v>Explicit; artist controversies separate from track function</x:v>
      </x:c>
      <x:c r="O181" s="37" t="str">
        <x:v>us</x:v>
      </x:c>
      <x:c r="P181" s="37" t="str">
        <x:v>women;queer</x:v>
      </x:c>
      <x:c r="Q181" s="37" t="n">
        <x:v>1</x:v>
      </x:c>
      <x:c r="R181" s="37" t="n">
        <x:v>1</x:v>
      </x:c>
      <x:c r="S181" s="37" t="n">
        <x:v>0</x:v>
      </x:c>
    </x:row>
    <x:row r="182">
      <x:c r="A182" s="36" t="n">
        <x:v>181</x:v>
      </x:c>
      <x:c r="B182" s="36" t="str">
        <x:v>HH10</x:v>
      </x:c>
      <x:c r="C182" s="36" t="n">
        <x:v>2015</x:v>
      </x:c>
      <x:c r="D182" s="37" t="str">
        <x:v>Skepta</x:v>
      </x:c>
      <x:c r="E182" s="37" t="str">
        <x:v>Shutdown</x:v>
      </x:c>
      <x:c r="F182" s="37" t="str">
        <x:v>original single version</x:v>
      </x:c>
      <x:c r="G182" s="37" t="str">
        <x:v>London / United Kingdom</x:v>
      </x:c>
      <x:c r="H182" s="37" t="str">
        <x:v>grime; MC; independence</x:v>
      </x:c>
      <x:c r="I182" s="37" t="str">
        <x:v>Grime resurgence and UK independence</x:v>
      </x:c>
      <x:c r="J182" s="37" t="str">
        <x:v>provisional</x:v>
      </x:c>
      <x:c r="K182" s="37" t="str">
        <x:v>metadata_unverified</x:v>
      </x:c>
      <x:c r="L182" s="37" t="str">
        <x:v>soundcloud_unresolved</x:v>
      </x:c>
      <x:c r="M182" s="37" t="str"/>
      <x:c r="N182" s="37" t="str">
        <x:v>Neighbor comparison not rap subsumption</x:v>
      </x:c>
      <x:c r="O182" s="37" t="str">
        <x:v>transnational_or_non_us</x:v>
      </x:c>
      <x:c r="P182" s="37" t="str"/>
      <x:c r="Q182" s="37" t="n">
        <x:v>0</x:v>
      </x:c>
      <x:c r="R182" s="37" t="n">
        <x:v>0</x:v>
      </x:c>
      <x:c r="S182" s="37" t="n">
        <x:v>0</x:v>
      </x:c>
    </x:row>
    <x:row r="183">
      <x:c r="A183" s="36" t="n">
        <x:v>182</x:v>
      </x:c>
      <x:c r="B183" s="36" t="str">
        <x:v>HH10</x:v>
      </x:c>
      <x:c r="C183" s="36" t="n">
        <x:v>2012</x:v>
      </x:c>
      <x:c r="D183" s="37" t="str">
        <x:v>Canserbero</x:v>
      </x:c>
      <x:c r="E183" s="37" t="str">
        <x:v>Jeremías 17:5</x:v>
      </x:c>
      <x:c r="F183" s="37" t="str">
        <x:v>original Muerte album version</x:v>
      </x:c>
      <x:c r="G183" s="37" t="str">
        <x:v>Venezuela</x:v>
      </x:c>
      <x:c r="H183" s="37" t="str">
        <x:v>Venezuelan-rap; Spanish-language; political</x:v>
      </x:c>
      <x:c r="I183" s="37" t="str">
        <x:v>Venezuelan independent lyricism and philosophical social critique</x:v>
      </x:c>
      <x:c r="J183" s="37" t="str">
        <x:v>provisional</x:v>
      </x:c>
      <x:c r="K183" s="37" t="str">
        <x:v>metadata_unverified</x:v>
      </x:c>
      <x:c r="L183" s="37" t="str">
        <x:v>soundcloud_unresolved</x:v>
      </x:c>
      <x:c r="M183" s="37" t="str"/>
      <x:c r="N183" s="37" t="str">
        <x:v>Translation and version audit</x:v>
      </x:c>
      <x:c r="O183" s="37" t="str">
        <x:v>us</x:v>
      </x:c>
      <x:c r="P183" s="37" t="str"/>
      <x:c r="Q183" s="37" t="n">
        <x:v>0</x:v>
      </x:c>
      <x:c r="R183" s="37" t="n">
        <x:v>0</x:v>
      </x:c>
      <x:c r="S183" s="37" t="n">
        <x:v>0</x:v>
      </x:c>
    </x:row>
    <x:row r="184">
      <x:c r="A184" s="36" t="n">
        <x:v>183</x:v>
      </x:c>
      <x:c r="B184" s="36" t="str">
        <x:v>HH10</x:v>
      </x:c>
      <x:c r="C184" s="36" t="n">
        <x:v>2015</x:v>
      </x:c>
      <x:c r="D184" s="37" t="str">
        <x:v>PNL</x:v>
      </x:c>
      <x:c r="E184" s="37" t="str">
        <x:v>Le monde ou rien</x:v>
      </x:c>
      <x:c r="F184" s="37" t="str">
        <x:v>original Le Monde Chico album version</x:v>
      </x:c>
      <x:c r="G184" s="37" t="str">
        <x:v>Paris / France</x:v>
      </x:c>
      <x:c r="H184" s="37" t="str">
        <x:v>French-rap; cloud; Auto-Tune</x:v>
      </x:c>
      <x:c r="I184" s="37" t="str">
        <x:v>French cloud atmosphere family authorship and autonomous image</x:v>
      </x:c>
      <x:c r="J184" s="37" t="str">
        <x:v>provisional</x:v>
      </x:c>
      <x:c r="K184" s="37" t="str">
        <x:v>metadata_unverified</x:v>
      </x:c>
      <x:c r="L184" s="37" t="str">
        <x:v>soundcloud_unresolved</x:v>
      </x:c>
      <x:c r="M184" s="37" t="str"/>
      <x:c r="N184" s="37" t="str">
        <x:v>Translation/context needed</x:v>
      </x:c>
      <x:c r="O184" s="37" t="str">
        <x:v>transnational_or_non_us</x:v>
      </x:c>
      <x:c r="P184" s="37" t="str"/>
      <x:c r="Q184" s="37" t="n">
        <x:v>0</x:v>
      </x:c>
      <x:c r="R184" s="37" t="n">
        <x:v>0</x:v>
      </x:c>
      <x:c r="S184" s="37" t="n">
        <x:v>0</x:v>
      </x:c>
    </x:row>
    <x:row r="185">
      <x:c r="A185" s="36" t="n">
        <x:v>184</x:v>
      </x:c>
      <x:c r="B185" s="36" t="str">
        <x:v>HH10</x:v>
      </x:c>
      <x:c r="C185" s="36" t="n">
        <x:v>2011</x:v>
      </x:c>
      <x:c r="D185" s="37" t="str">
        <x:v>Tyler, the Creator</x:v>
      </x:c>
      <x:c r="E185" s="37" t="str">
        <x:v>Yonkers</x:v>
      </x:c>
      <x:c r="F185" s="37" t="str">
        <x:v>original Goblin album version</x:v>
      </x:c>
      <x:c r="G185" s="37" t="str">
        <x:v>Los Angeles</x:v>
      </x:c>
      <x:c r="H185" s="37" t="str">
        <x:v>Odd-Future; internet; persona; minimal</x:v>
      </x:c>
      <x:c r="I185" s="37" t="str">
        <x:v>Internet collective shock aesthetics stark production and authored visual persona</x:v>
      </x:c>
      <x:c r="J185" s="37" t="str">
        <x:v>provisional</x:v>
      </x:c>
      <x:c r="K185" s="37" t="str">
        <x:v>metadata_unverified</x:v>
      </x:c>
      <x:c r="L185" s="37" t="str">
        <x:v>soundcloud_unresolved</x:v>
      </x:c>
      <x:c r="M185" s="37" t="str"/>
      <x:c r="N185" s="37" t="str">
        <x:v>Contextualize slurs and provocation</x:v>
      </x:c>
      <x:c r="O185" s="37" t="str">
        <x:v>us</x:v>
      </x:c>
      <x:c r="P185" s="37" t="str"/>
      <x:c r="Q185" s="37" t="n">
        <x:v>0</x:v>
      </x:c>
      <x:c r="R185" s="37" t="n">
        <x:v>0</x:v>
      </x:c>
      <x:c r="S185" s="37" t="n">
        <x:v>0</x:v>
      </x:c>
    </x:row>
    <x:row r="186">
      <x:c r="A186" s="36" t="n">
        <x:v>185</x:v>
      </x:c>
      <x:c r="B186" s="36" t="str">
        <x:v>HH10</x:v>
      </x:c>
      <x:c r="C186" s="36" t="n">
        <x:v>2016</x:v>
      </x:c>
      <x:c r="D186" s="37" t="str">
        <x:v>Okmalumkoolkat</x:v>
      </x:c>
      <x:c r="E186" s="37" t="str">
        <x:v>Gqi</x:v>
      </x:c>
      <x:c r="F186" s="37" t="str">
        <x:v>original Mlazi Milano album version</x:v>
      </x:c>
      <x:c r="G186" s="37" t="str">
        <x:v>Durban / South Africa</x:v>
      </x:c>
      <x:c r="H186" s="37" t="str">
        <x:v>South-African-rap; electronic; language</x:v>
      </x:c>
      <x:c r="I186" s="37" t="str">
        <x:v>Zulu-inflected futurism and local electronic exchange</x:v>
      </x:c>
      <x:c r="J186" s="37" t="str">
        <x:v>provisional</x:v>
      </x:c>
      <x:c r="K186" s="37" t="str">
        <x:v>metadata_unverified</x:v>
      </x:c>
      <x:c r="L186" s="37" t="str">
        <x:v>soundcloud_unresolved</x:v>
      </x:c>
      <x:c r="M186" s="37" t="str"/>
      <x:c r="N186" s="37" t="str">
        <x:v>Metadata/language audit</x:v>
      </x:c>
      <x:c r="O186" s="37" t="str">
        <x:v>transnational_or_non_us</x:v>
      </x:c>
      <x:c r="P186" s="37" t="str"/>
      <x:c r="Q186" s="37" t="n">
        <x:v>0</x:v>
      </x:c>
      <x:c r="R186" s="37" t="n">
        <x:v>0</x:v>
      </x:c>
      <x:c r="S186" s="37" t="n">
        <x:v>0</x:v>
      </x:c>
    </x:row>
    <x:row r="187">
      <x:c r="A187" s="36" t="n">
        <x:v>186</x:v>
      </x:c>
      <x:c r="B187" s="36" t="str">
        <x:v>HH10</x:v>
      </x:c>
      <x:c r="C187" s="36" t="n">
        <x:v>2015</x:v>
      </x:c>
      <x:c r="D187" s="37" t="str">
        <x:v>Keith Ape featuring JayAllDay Loota Okasian and Kohh</x:v>
      </x:c>
      <x:c r="E187" s="37" t="str">
        <x:v>It G Ma</x:v>
      </x:c>
      <x:c r="F187" s="37" t="str">
        <x:v>original single version</x:v>
      </x:c>
      <x:c r="G187" s="37" t="str">
        <x:v>South Korea / Japan</x:v>
      </x:c>
      <x:c r="H187" s="37" t="str">
        <x:v>Asian-rap; trap; multilingual</x:v>
      </x:c>
      <x:c r="I187" s="37" t="str">
        <x:v>Multilingual regional collaboration and viral transpacific circulation</x:v>
      </x:c>
      <x:c r="J187" s="37" t="str">
        <x:v>provisional</x:v>
      </x:c>
      <x:c r="K187" s="37" t="str">
        <x:v>metadata_unverified</x:v>
      </x:c>
      <x:c r="L187" s="37" t="str">
        <x:v>soundcloud_unresolved</x:v>
      </x:c>
      <x:c r="M187" s="37" t="str"/>
      <x:c r="N187" s="37" t="str">
        <x:v>Full credit and cultural-context audit</x:v>
      </x:c>
      <x:c r="O187" s="37" t="str">
        <x:v>transnational_or_non_us</x:v>
      </x:c>
      <x:c r="P187" s="37" t="str"/>
      <x:c r="Q187" s="37" t="n">
        <x:v>0</x:v>
      </x:c>
      <x:c r="R187" s="37" t="n">
        <x:v>0</x:v>
      </x:c>
      <x:c r="S187" s="37" t="n">
        <x:v>0</x:v>
      </x:c>
    </x:row>
    <x:row r="188">
      <x:c r="A188" s="36" t="n">
        <x:v>187</x:v>
      </x:c>
      <x:c r="B188" s="36" t="str">
        <x:v>HH11</x:v>
      </x:c>
      <x:c r="C188" s="36" t="n">
        <x:v>2016</x:v>
      </x:c>
      <x:c r="D188" s="37" t="str">
        <x:v>XXXTentacion</x:v>
      </x:c>
      <x:c r="E188" s="37" t="str">
        <x:v>Look at Me!</x:v>
      </x:c>
      <x:c r="F188" s="37" t="str">
        <x:v>original SoundCloud upload/master</x:v>
      </x:c>
      <x:c r="G188" s="37" t="str">
        <x:v>South Florida</x:v>
      </x:c>
      <x:c r="H188" s="37" t="str">
        <x:v>SoundCloud-rap; distortion; short-form</x:v>
      </x:c>
      <x:c r="I188" s="37" t="str">
        <x:v>Clipping distortion brevity and platform virality</x:v>
      </x:c>
      <x:c r="J188" s="37" t="str">
        <x:v>provisional</x:v>
      </x:c>
      <x:c r="K188" s="37" t="str">
        <x:v>metadata_unverified</x:v>
      </x:c>
      <x:c r="L188" s="37" t="str">
        <x:v>soundcloud_unresolved</x:v>
      </x:c>
      <x:c r="M188" s="37" t="str"/>
      <x:c r="N188" s="37" t="str">
        <x:v>Serious biographical harm context required</x:v>
      </x:c>
      <x:c r="O188" s="37" t="str">
        <x:v>us</x:v>
      </x:c>
      <x:c r="P188" s="37" t="str"/>
      <x:c r="Q188" s="37" t="n">
        <x:v>0</x:v>
      </x:c>
      <x:c r="R188" s="37" t="n">
        <x:v>0</x:v>
      </x:c>
      <x:c r="S188" s="37" t="n">
        <x:v>0</x:v>
      </x:c>
    </x:row>
    <x:row r="189">
      <x:c r="A189" s="36" t="n">
        <x:v>188</x:v>
      </x:c>
      <x:c r="B189" s="36" t="str">
        <x:v>HH11</x:v>
      </x:c>
      <x:c r="C189" s="36" t="n">
        <x:v>2017</x:v>
      </x:c>
      <x:c r="D189" s="37" t="str">
        <x:v>Lil Uzi Vert</x:v>
      </x:c>
      <x:c r="E189" s="37" t="str">
        <x:v>XO TOUR Llif3</x:v>
      </x:c>
      <x:c r="F189" s="37" t="str">
        <x:v>original commercial single version</x:v>
      </x:c>
      <x:c r="G189" s="37" t="str">
        <x:v>Philadelphia</x:v>
      </x:c>
      <x:c r="H189" s="37" t="str">
        <x:v>emo-rap; melody; trap</x:v>
      </x:c>
      <x:c r="I189" s="37" t="str">
        <x:v>Melodic affect and arena-scale internet generation</x:v>
      </x:c>
      <x:c r="J189" s="37" t="str">
        <x:v>provisional</x:v>
      </x:c>
      <x:c r="K189" s="37" t="str">
        <x:v>metadata_unverified</x:v>
      </x:c>
      <x:c r="L189" s="37" t="str">
        <x:v>soundcloud_unresolved</x:v>
      </x:c>
      <x:c r="M189" s="37" t="str"/>
      <x:c r="N189" s="37" t="str">
        <x:v>Compare initial SoundCloud version if materially different</x:v>
      </x:c>
      <x:c r="O189" s="37" t="str">
        <x:v>us</x:v>
      </x:c>
      <x:c r="P189" s="37" t="str"/>
      <x:c r="Q189" s="37" t="n">
        <x:v>0</x:v>
      </x:c>
      <x:c r="R189" s="37" t="n">
        <x:v>0</x:v>
      </x:c>
      <x:c r="S189" s="37" t="n">
        <x:v>0</x:v>
      </x:c>
    </x:row>
    <x:row r="190">
      <x:c r="A190" s="36" t="n">
        <x:v>189</x:v>
      </x:c>
      <x:c r="B190" s="36" t="str">
        <x:v>HH11</x:v>
      </x:c>
      <x:c r="C190" s="36" t="n">
        <x:v>2017</x:v>
      </x:c>
      <x:c r="D190" s="37" t="str">
        <x:v>Playboi Carti</x:v>
      </x:c>
      <x:c r="E190" s="37" t="str">
        <x:v>Magnolia</x:v>
      </x:c>
      <x:c r="F190" s="37" t="str">
        <x:v>original Playboi Carti mixtape version</x:v>
      </x:c>
      <x:c r="G190" s="37" t="str">
        <x:v>Atlanta / New York</x:v>
      </x:c>
      <x:c r="H190" s="37" t="str">
        <x:v>minimal-vocal; trap; Pi'erre</x:v>
      </x:c>
      <x:c r="I190" s="37" t="str">
        <x:v>Ad-lib voice repetition and producer tag as architecture</x:v>
      </x:c>
      <x:c r="J190" s="37" t="str">
        <x:v>provisional</x:v>
      </x:c>
      <x:c r="K190" s="37" t="str">
        <x:v>metadata_unverified</x:v>
      </x:c>
      <x:c r="L190" s="37" t="str">
        <x:v>soundcloud_unresolved</x:v>
      </x:c>
      <x:c r="M190" s="37" t="str"/>
      <x:c r="N190" s="37" t="str">
        <x:v>Canonical platform-era form</x:v>
      </x:c>
      <x:c r="O190" s="37" t="str">
        <x:v>us</x:v>
      </x:c>
      <x:c r="P190" s="37" t="str"/>
      <x:c r="Q190" s="37" t="n">
        <x:v>0</x:v>
      </x:c>
      <x:c r="R190" s="37" t="n">
        <x:v>0</x:v>
      </x:c>
      <x:c r="S190" s="37" t="n">
        <x:v>0</x:v>
      </x:c>
    </x:row>
    <x:row r="191">
      <x:c r="A191" s="36" t="n">
        <x:v>190</x:v>
      </x:c>
      <x:c r="B191" s="36" t="str">
        <x:v>HH11</x:v>
      </x:c>
      <x:c r="C191" s="36" t="n">
        <x:v>2017</x:v>
      </x:c>
      <x:c r="D191" s="37" t="str">
        <x:v>Juice WRLD</x:v>
      </x:c>
      <x:c r="E191" s="37" t="str">
        <x:v>Lucid Dreams</x:v>
      </x:c>
      <x:c r="F191" s="37" t="str">
        <x:v>original single/Goodbye album version</x:v>
      </x:c>
      <x:c r="G191" s="37" t="str">
        <x:v>Chicago</x:v>
      </x:c>
      <x:c r="H191" s="37" t="str">
        <x:v>emo-rap; melody; sample</x:v>
      </x:c>
      <x:c r="I191" s="37" t="str">
        <x:v>Freestyle-derived melodic confession and sample dependence</x:v>
      </x:c>
      <x:c r="J191" s="37" t="str">
        <x:v>provisional</x:v>
      </x:c>
      <x:c r="K191" s="37" t="str">
        <x:v>metadata_unverified</x:v>
      </x:c>
      <x:c r="L191" s="37" t="str">
        <x:v>soundcloud_unresolved</x:v>
      </x:c>
      <x:c r="M191" s="37" t="str"/>
      <x:c r="N191" s="37" t="str">
        <x:v>Version and sample-cleared master verify</x:v>
      </x:c>
      <x:c r="O191" s="37" t="str">
        <x:v>us</x:v>
      </x:c>
      <x:c r="P191" s="37" t="str"/>
      <x:c r="Q191" s="37" t="n">
        <x:v>0</x:v>
      </x:c>
      <x:c r="R191" s="37" t="n">
        <x:v>0</x:v>
      </x:c>
      <x:c r="S191" s="37" t="n">
        <x:v>0</x:v>
      </x:c>
    </x:row>
    <x:row r="192">
      <x:c r="A192" s="36" t="n">
        <x:v>191</x:v>
      </x:c>
      <x:c r="B192" s="36" t="str">
        <x:v>HH11</x:v>
      </x:c>
      <x:c r="C192" s="36" t="n">
        <x:v>2017</x:v>
      </x:c>
      <x:c r="D192" s="37" t="str">
        <x:v>Lil Peep</x:v>
      </x:c>
      <x:c r="E192" s="37" t="str">
        <x:v>Benz Truck (гелик)</x:v>
      </x:c>
      <x:c r="F192" s="37" t="str">
        <x:v>original Come Over When You're Sober Pt. 1 version</x:v>
      </x:c>
      <x:c r="G192" s="37" t="str">
        <x:v>Long Island / Los Angeles</x:v>
      </x:c>
      <x:c r="H192" s="37" t="str">
        <x:v>emo-rap; guitar; SoundCloud</x:v>
      </x:c>
      <x:c r="I192" s="37" t="str">
        <x:v>Guitar emo lineage and SoundCloud intimacy</x:v>
      </x:c>
      <x:c r="J192" s="37" t="str">
        <x:v>provisional</x:v>
      </x:c>
      <x:c r="K192" s="37" t="str">
        <x:v>metadata_unverified</x:v>
      </x:c>
      <x:c r="L192" s="37" t="str">
        <x:v>soundcloud_unresolved</x:v>
      </x:c>
      <x:c r="M192" s="37" t="str"/>
      <x:c r="N192" s="37" t="str">
        <x:v>Title typography and original upload verify</x:v>
      </x:c>
      <x:c r="O192" s="37" t="str">
        <x:v>us</x:v>
      </x:c>
      <x:c r="P192" s="37" t="str"/>
      <x:c r="Q192" s="37" t="n">
        <x:v>0</x:v>
      </x:c>
      <x:c r="R192" s="37" t="n">
        <x:v>0</x:v>
      </x:c>
      <x:c r="S192" s="37" t="n">
        <x:v>0</x:v>
      </x:c>
    </x:row>
    <x:row r="193">
      <x:c r="A193" s="36" t="n">
        <x:v>192</x:v>
      </x:c>
      <x:c r="B193" s="36" t="str">
        <x:v>HH11</x:v>
      </x:c>
      <x:c r="C193" s="36" t="n">
        <x:v>2016</x:v>
      </x:c>
      <x:c r="D193" s="37" t="str">
        <x:v>Travis Scott featuring Kendrick Lamar</x:v>
      </x:c>
      <x:c r="E193" s="37" t="str">
        <x:v>goosebumps</x:v>
      </x:c>
      <x:c r="F193" s="37" t="str">
        <x:v>original Birds in the Trap Sing McKnight version</x:v>
      </x:c>
      <x:c r="G193" s="37" t="str">
        <x:v>Houston</x:v>
      </x:c>
      <x:c r="H193" s="37" t="str">
        <x:v>psychedelic-trap; producer-auteur; mainstream</x:v>
      </x:c>
      <x:c r="I193" s="37" t="str">
        <x:v>Atmospheric trap as large-scale producer-performer world building</x:v>
      </x:c>
      <x:c r="J193" s="37" t="str">
        <x:v>provisional</x:v>
      </x:c>
      <x:c r="K193" s="37" t="str">
        <x:v>metadata_unverified</x:v>
      </x:c>
      <x:c r="L193" s="37" t="str">
        <x:v>soundcloud_unresolved</x:v>
      </x:c>
      <x:c r="M193" s="37" t="str"/>
      <x:c r="N193" s="37" t="str">
        <x:v>Feature and album master verify</x:v>
      </x:c>
      <x:c r="O193" s="37" t="str">
        <x:v>us</x:v>
      </x:c>
      <x:c r="P193" s="37" t="str">
        <x:v>non_mc_role_or_live</x:v>
      </x:c>
      <x:c r="Q193" s="37" t="n">
        <x:v>0</x:v>
      </x:c>
      <x:c r="R193" s="37" t="n">
        <x:v>0</x:v>
      </x:c>
      <x:c r="S193" s="37" t="n">
        <x:v>1</x:v>
      </x:c>
    </x:row>
    <x:row r="194">
      <x:c r="A194" s="36" t="n">
        <x:v>193</x:v>
      </x:c>
      <x:c r="B194" s="36" t="str">
        <x:v>HH11</x:v>
      </x:c>
      <x:c r="C194" s="36" t="n">
        <x:v>2018</x:v>
      </x:c>
      <x:c r="D194" s="37" t="str">
        <x:v>Noname</x:v>
      </x:c>
      <x:c r="E194" s="37" t="str">
        <x:v>Blaxploitation</x:v>
      </x:c>
      <x:c r="F194" s="37" t="str">
        <x:v>original Room 25 album version</x:v>
      </x:c>
      <x:c r="G194" s="37" t="str">
        <x:v>Chicago</x:v>
      </x:c>
      <x:c r="H194" s="37" t="str">
        <x:v>women; spoken-flow; political</x:v>
      </x:c>
      <x:c r="I194" s="37" t="str">
        <x:v>Political critique through conversational rhythmic ambiguity</x:v>
      </x:c>
      <x:c r="J194" s="37" t="str">
        <x:v>provisional</x:v>
      </x:c>
      <x:c r="K194" s="37" t="str">
        <x:v>metadata_unverified</x:v>
      </x:c>
      <x:c r="L194" s="37" t="str">
        <x:v>soundcloud_unresolved</x:v>
      </x:c>
      <x:c r="M194" s="37" t="str"/>
      <x:c r="N194" s="37" t="str">
        <x:v>Likely Tom route</x:v>
      </x:c>
      <x:c r="O194" s="37" t="str">
        <x:v>us</x:v>
      </x:c>
      <x:c r="P194" s="37" t="str">
        <x:v>women</x:v>
      </x:c>
      <x:c r="Q194" s="37" t="n">
        <x:v>1</x:v>
      </x:c>
      <x:c r="R194" s="37" t="n">
        <x:v>0</x:v>
      </x:c>
      <x:c r="S194" s="37" t="n">
        <x:v>0</x:v>
      </x:c>
    </x:row>
    <x:row r="195">
      <x:c r="A195" s="36" t="n">
        <x:v>194</x:v>
      </x:c>
      <x:c r="B195" s="36" t="str">
        <x:v>HH11</x:v>
      </x:c>
      <x:c r="C195" s="36" t="n">
        <x:v>2019</x:v>
      </x:c>
      <x:c r="D195" s="37" t="str">
        <x:v>Tierra Whack</x:v>
      </x:c>
      <x:c r="E195" s="37" t="str">
        <x:v>Unemployed</x:v>
      </x:c>
      <x:c r="F195" s="37" t="str">
        <x:v>original single version</x:v>
      </x:c>
      <x:c r="G195" s="37" t="str">
        <x:v>Philadelphia</x:v>
      </x:c>
      <x:c r="H195" s="37" t="str">
        <x:v>women; experimental; visual</x:v>
      </x:c>
      <x:c r="I195" s="37" t="str">
        <x:v>Comic grotesque imagery and compact formal invention</x:v>
      </x:c>
      <x:c r="J195" s="37" t="str">
        <x:v>provisional</x:v>
      </x:c>
      <x:c r="K195" s="37" t="str">
        <x:v>metadata_unverified</x:v>
      </x:c>
      <x:c r="L195" s="37" t="str">
        <x:v>soundcloud_unresolved</x:v>
      </x:c>
      <x:c r="M195" s="37" t="str"/>
      <x:c r="N195" s="37" t="str">
        <x:v>Pair with Whack World in prose</x:v>
      </x:c>
      <x:c r="O195" s="37" t="str">
        <x:v>us</x:v>
      </x:c>
      <x:c r="P195" s="37" t="str">
        <x:v>women</x:v>
      </x:c>
      <x:c r="Q195" s="37" t="n">
        <x:v>1</x:v>
      </x:c>
      <x:c r="R195" s="37" t="n">
        <x:v>0</x:v>
      </x:c>
      <x:c r="S195" s="37" t="n">
        <x:v>0</x:v>
      </x:c>
    </x:row>
    <x:row r="196">
      <x:c r="A196" s="36" t="n">
        <x:v>195</x:v>
      </x:c>
      <x:c r="B196" s="36" t="str">
        <x:v>HH11</x:v>
      </x:c>
      <x:c r="C196" s="36" t="n">
        <x:v>2016</x:v>
      </x:c>
      <x:c r="D196" s="37" t="str">
        <x:v>Young M.A</x:v>
      </x:c>
      <x:c r="E196" s="37" t="str">
        <x:v>OOOUUU</x:v>
      </x:c>
      <x:c r="F196" s="37" t="str">
        <x:v>original single version</x:v>
      </x:c>
      <x:c r="G196" s="37" t="str">
        <x:v>Brooklyn / New York</x:v>
      </x:c>
      <x:c r="H196" s="37" t="str">
        <x:v>women; queer; street-rap</x:v>
      </x:c>
      <x:c r="I196" s="37" t="str">
        <x:v>Queer woman authority inside mainstream street-rap grammar</x:v>
      </x:c>
      <x:c r="J196" s="37" t="str">
        <x:v>provisional</x:v>
      </x:c>
      <x:c r="K196" s="37" t="str">
        <x:v>metadata_unverified</x:v>
      </x:c>
      <x:c r="L196" s="37" t="str">
        <x:v>soundcloud_unresolved</x:v>
      </x:c>
      <x:c r="M196" s="37" t="str"/>
      <x:c r="N196" s="37" t="str">
        <x:v>Canonical</x:v>
      </x:c>
      <x:c r="O196" s="37" t="str">
        <x:v>us</x:v>
      </x:c>
      <x:c r="P196" s="37" t="str">
        <x:v>women;queer</x:v>
      </x:c>
      <x:c r="Q196" s="37" t="n">
        <x:v>1</x:v>
      </x:c>
      <x:c r="R196" s="37" t="n">
        <x:v>1</x:v>
      </x:c>
      <x:c r="S196" s="37" t="n">
        <x:v>0</x:v>
      </x:c>
    </x:row>
    <x:row r="197">
      <x:c r="A197" s="36" t="n">
        <x:v>196</x:v>
      </x:c>
      <x:c r="B197" s="36" t="str">
        <x:v>HH11</x:v>
      </x:c>
      <x:c r="C197" s="36" t="n">
        <x:v>2019</x:v>
      </x:c>
      <x:c r="D197" s="37" t="str">
        <x:v>Dave</x:v>
      </x:c>
      <x:c r="E197" s="37" t="str">
        <x:v>Black</x:v>
      </x:c>
      <x:c r="F197" s="37" t="str">
        <x:v>original Psychodrama album version</x:v>
      </x:c>
      <x:c r="G197" s="37" t="str">
        <x:v>London / United Kingdom</x:v>
      </x:c>
      <x:c r="H197" s="37" t="str">
        <x:v>UK-rap; political; piano</x:v>
      </x:c>
      <x:c r="I197" s="37" t="str">
        <x:v>Black British historical argument and perspective changes</x:v>
      </x:c>
      <x:c r="J197" s="37" t="str">
        <x:v>provisional</x:v>
      </x:c>
      <x:c r="K197" s="37" t="str">
        <x:v>metadata_unverified</x:v>
      </x:c>
      <x:c r="L197" s="37" t="str">
        <x:v>soundcloud_unresolved</x:v>
      </x:c>
      <x:c r="M197" s="37" t="str"/>
      <x:c r="N197" s="37" t="str">
        <x:v>Album versus BRIT performance distinction</x:v>
      </x:c>
      <x:c r="O197" s="37" t="str">
        <x:v>transnational_or_non_us</x:v>
      </x:c>
      <x:c r="P197" s="37" t="str"/>
      <x:c r="Q197" s="37" t="n">
        <x:v>0</x:v>
      </x:c>
      <x:c r="R197" s="37" t="n">
        <x:v>0</x:v>
      </x:c>
      <x:c r="S197" s="37" t="n">
        <x:v>0</x:v>
      </x:c>
    </x:row>
    <x:row r="198">
      <x:c r="A198" s="36" t="n">
        <x:v>197</x:v>
      </x:c>
      <x:c r="B198" s="36" t="str">
        <x:v>HH11</x:v>
      </x:c>
      <x:c r="C198" s="36" t="n">
        <x:v>2019</x:v>
      </x:c>
      <x:c r="D198" s="37" t="str">
        <x:v>Little Simz</x:v>
      </x:c>
      <x:c r="E198" s="37" t="str">
        <x:v>Venom</x:v>
      </x:c>
      <x:c r="F198" s="37" t="str">
        <x:v>original GREY Area album version</x:v>
      </x:c>
      <x:c r="G198" s="37" t="str">
        <x:v>London / United Kingdom</x:v>
      </x:c>
      <x:c r="H198" s="37" t="str">
        <x:v>women; lyrical; experimental</x:v>
      </x:c>
      <x:c r="I198" s="37" t="str">
        <x:v>Controlled technical escalation and producer partnership</x:v>
      </x:c>
      <x:c r="J198" s="37" t="str">
        <x:v>provisional</x:v>
      </x:c>
      <x:c r="K198" s="37" t="str">
        <x:v>metadata_unverified</x:v>
      </x:c>
      <x:c r="L198" s="37" t="str">
        <x:v>soundcloud_unresolved</x:v>
      </x:c>
      <x:c r="M198" s="37" t="str"/>
      <x:c r="N198" s="37" t="str">
        <x:v>Likely Tom route</x:v>
      </x:c>
      <x:c r="O198" s="37" t="str">
        <x:v>transnational_or_non_us</x:v>
      </x:c>
      <x:c r="P198" s="37" t="str">
        <x:v>women</x:v>
      </x:c>
      <x:c r="Q198" s="37" t="n">
        <x:v>1</x:v>
      </x:c>
      <x:c r="R198" s="37" t="n">
        <x:v>0</x:v>
      </x:c>
      <x:c r="S198" s="37" t="n">
        <x:v>0</x:v>
      </x:c>
    </x:row>
    <x:row r="199">
      <x:c r="A199" s="36" t="n">
        <x:v>198</x:v>
      </x:c>
      <x:c r="B199" s="36" t="str">
        <x:v>HH11</x:v>
      </x:c>
      <x:c r="C199" s="36" t="n">
        <x:v>2017</x:v>
      </x:c>
      <x:c r="D199" s="37" t="str">
        <x:v>Cardi B</x:v>
      </x:c>
      <x:c r="E199" s="37" t="str">
        <x:v>Bodak Yellow</x:v>
      </x:c>
      <x:c r="F199" s="37" t="str">
        <x:v>original single/Invasion of Privacy version</x:v>
      </x:c>
      <x:c r="G199" s="37" t="str">
        <x:v>Bronx / New York</x:v>
      </x:c>
      <x:c r="H199" s="37" t="str">
        <x:v>women; mainstream; trap</x:v>
      </x:c>
      <x:c r="I199" s="37" t="str">
        <x:v>Woman-led mainstream breakthrough through forceful speech rhythm</x:v>
      </x:c>
      <x:c r="J199" s="37" t="str">
        <x:v>provisional</x:v>
      </x:c>
      <x:c r="K199" s="37" t="str">
        <x:v>metadata_unverified</x:v>
      </x:c>
      <x:c r="L199" s="37" t="str">
        <x:v>soundcloud_unresolved</x:v>
      </x:c>
      <x:c r="M199" s="37" t="str"/>
      <x:c r="N199" s="37" t="str">
        <x:v>Single and album master compare</x:v>
      </x:c>
      <x:c r="O199" s="37" t="str">
        <x:v>us</x:v>
      </x:c>
      <x:c r="P199" s="37" t="str">
        <x:v>women</x:v>
      </x:c>
      <x:c r="Q199" s="37" t="n">
        <x:v>1</x:v>
      </x:c>
      <x:c r="R199" s="37" t="n">
        <x:v>0</x:v>
      </x:c>
      <x:c r="S199" s="37" t="n">
        <x:v>0</x:v>
      </x:c>
    </x:row>
    <x:row r="200">
      <x:c r="A200" s="36" t="n">
        <x:v>199</x:v>
      </x:c>
      <x:c r="B200" s="36" t="str">
        <x:v>HH11</x:v>
      </x:c>
      <x:c r="C200" s="36" t="n">
        <x:v>2019</x:v>
      </x:c>
      <x:c r="D200" s="37" t="str">
        <x:v>Sampa the Great</x:v>
      </x:c>
      <x:c r="E200" s="37" t="str">
        <x:v>Final Form</x:v>
      </x:c>
      <x:c r="F200" s="37" t="str">
        <x:v>original single/The Return version</x:v>
      </x:c>
      <x:c r="G200" s="37" t="str">
        <x:v>Zambia / Botswana / Australia</x:v>
      </x:c>
      <x:c r="H200" s="37" t="str">
        <x:v>African-diaspora; women; political</x:v>
      </x:c>
      <x:c r="I200" s="37" t="str">
        <x:v>Diasporic self-definition and live-funk production</x:v>
      </x:c>
      <x:c r="J200" s="37" t="str">
        <x:v>provisional</x:v>
      </x:c>
      <x:c r="K200" s="37" t="str">
        <x:v>metadata_unverified</x:v>
      </x:c>
      <x:c r="L200" s="37" t="str">
        <x:v>soundcloud_unresolved</x:v>
      </x:c>
      <x:c r="M200" s="37" t="str"/>
      <x:c r="N200" s="37" t="str">
        <x:v>Version verify</x:v>
      </x:c>
      <x:c r="O200" s="37" t="str">
        <x:v>transnational_or_non_us</x:v>
      </x:c>
      <x:c r="P200" s="37" t="str">
        <x:v>women</x:v>
      </x:c>
      <x:c r="Q200" s="37" t="n">
        <x:v>1</x:v>
      </x:c>
      <x:c r="R200" s="37" t="n">
        <x:v>0</x:v>
      </x:c>
      <x:c r="S200" s="37" t="n">
        <x:v>0</x:v>
      </x:c>
    </x:row>
    <x:row r="201">
      <x:c r="A201" s="36" t="n">
        <x:v>200</x:v>
      </x:c>
      <x:c r="B201" s="36" t="str">
        <x:v>HH11</x:v>
      </x:c>
      <x:c r="C201" s="36" t="n">
        <x:v>2018</x:v>
      </x:c>
      <x:c r="D201" s="37" t="str">
        <x:v>Nasty C</x:v>
      </x:c>
      <x:c r="E201" s="37" t="str">
        <x:v>Strings and Bling</x:v>
      </x:c>
      <x:c r="F201" s="37" t="str">
        <x:v>original album version</x:v>
      </x:c>
      <x:c r="G201" s="37" t="str">
        <x:v>Durban / South Africa</x:v>
      </x:c>
      <x:c r="H201" s="37" t="str">
        <x:v>South-African-rap; melodic; mainstream</x:v>
      </x:c>
      <x:c r="I201" s="37" t="str">
        <x:v>African mainstream rap craft and melodic range</x:v>
      </x:c>
      <x:c r="J201" s="37" t="str">
        <x:v>provisional</x:v>
      </x:c>
      <x:c r="K201" s="37" t="str">
        <x:v>metadata_unverified</x:v>
      </x:c>
      <x:c r="L201" s="37" t="str">
        <x:v>soundcloud_unresolved</x:v>
      </x:c>
      <x:c r="M201" s="37" t="str"/>
      <x:c r="N201" s="37" t="str">
        <x:v>Avoid tokenizing as national representative</x:v>
      </x:c>
      <x:c r="O201" s="37" t="str">
        <x:v>transnational_or_non_us</x:v>
      </x:c>
      <x:c r="P201" s="37" t="str"/>
      <x:c r="Q201" s="37" t="n">
        <x:v>0</x:v>
      </x:c>
      <x:c r="R201" s="37" t="n">
        <x:v>0</x:v>
      </x:c>
      <x:c r="S201" s="37" t="n">
        <x:v>0</x:v>
      </x:c>
    </x:row>
    <x:row r="202">
      <x:c r="A202" s="36" t="n">
        <x:v>201</x:v>
      </x:c>
      <x:c r="B202" s="36" t="str">
        <x:v>HH11</x:v>
      </x:c>
      <x:c r="C202" s="36" t="n">
        <x:v>2019</x:v>
      </x:c>
      <x:c r="D202" s="37" t="str">
        <x:v>Pop Smoke</x:v>
      </x:c>
      <x:c r="E202" s="37" t="str">
        <x:v>Dior</x:v>
      </x:c>
      <x:c r="F202" s="37" t="str">
        <x:v>original Meet the Woo version</x:v>
      </x:c>
      <x:c r="G202" s="37" t="str">
        <x:v>Brooklyn / New York</x:v>
      </x:c>
      <x:c r="H202" s="37" t="str">
        <x:v>Brooklyn-drill; UK-producer-circuit; street</x:v>
      </x:c>
      <x:c r="I202" s="37" t="str">
        <x:v>Brooklyn drill's reciprocal production circuit with the United Kingdom</x:v>
      </x:c>
      <x:c r="J202" s="37" t="str">
        <x:v>provisional</x:v>
      </x:c>
      <x:c r="K202" s="37" t="str">
        <x:v>metadata_unverified</x:v>
      </x:c>
      <x:c r="L202" s="37" t="str">
        <x:v>soundcloud_unresolved</x:v>
      </x:c>
      <x:c r="M202" s="37" t="str"/>
      <x:c r="N202" s="37" t="str">
        <x:v>Original mixtape master and producer credit</x:v>
      </x:c>
      <x:c r="O202" s="37" t="str">
        <x:v>us</x:v>
      </x:c>
      <x:c r="P202" s="37" t="str">
        <x:v>non_mc_role_or_live</x:v>
      </x:c>
      <x:c r="Q202" s="37" t="n">
        <x:v>0</x:v>
      </x:c>
      <x:c r="R202" s="37" t="n">
        <x:v>0</x:v>
      </x:c>
      <x:c r="S202" s="37" t="n">
        <x:v>1</x:v>
      </x:c>
    </x:row>
    <x:row r="203">
      <x:c r="A203" s="36" t="n">
        <x:v>202</x:v>
      </x:c>
      <x:c r="B203" s="36" t="str">
        <x:v>HH11</x:v>
      </x:c>
      <x:c r="C203" s="36" t="n">
        <x:v>2016</x:v>
      </x:c>
      <x:c r="D203" s="37" t="str">
        <x:v>Mare Advertencia Lirika</x:v>
      </x:c>
      <x:c r="E203" s="37" t="str">
        <x:v>Libres y Vivas</x:v>
      </x:c>
      <x:c r="F203" s="37" t="str">
        <x:v>original version</x:v>
      </x:c>
      <x:c r="G203" s="37" t="str">
        <x:v>Oaxaca / Mexico</x:v>
      </x:c>
      <x:c r="H203" s="37" t="str">
        <x:v>women; Indigenous; political; Spanish</x:v>
      </x:c>
      <x:c r="I203" s="37" t="str">
        <x:v>Indigenous woman political rap and local movement infrastructure</x:v>
      </x:c>
      <x:c r="J203" s="37" t="str">
        <x:v>provisional</x:v>
      </x:c>
      <x:c r="K203" s="37" t="str">
        <x:v>metadata_unverified</x:v>
      </x:c>
      <x:c r="L203" s="37" t="str">
        <x:v>soundcloud_unresolved</x:v>
      </x:c>
      <x:c r="M203" s="37" t="str"/>
      <x:c r="N203" s="37" t="str">
        <x:v>Exact release/date/language context verify</x:v>
      </x:c>
      <x:c r="O203" s="37" t="str">
        <x:v>transnational_or_non_us</x:v>
      </x:c>
      <x:c r="P203" s="37" t="str">
        <x:v>women</x:v>
      </x:c>
      <x:c r="Q203" s="37" t="n">
        <x:v>1</x:v>
      </x:c>
      <x:c r="R203" s="37" t="n">
        <x:v>0</x:v>
      </x:c>
      <x:c r="S203" s="37" t="n">
        <x:v>0</x:v>
      </x:c>
    </x:row>
    <x:row r="204">
      <x:c r="A204" s="36" t="n">
        <x:v>203</x:v>
      </x:c>
      <x:c r="B204" s="36" t="str">
        <x:v>HH12</x:v>
      </x:c>
      <x:c r="C204" s="36" t="n">
        <x:v>2023</x:v>
      </x:c>
      <x:c r="D204" s="37" t="str">
        <x:v>billy woods and Kenny Segal</x:v>
      </x:c>
      <x:c r="E204" s="37" t="str">
        <x:v>Soft Landing</x:v>
      </x:c>
      <x:c r="F204" s="37" t="str">
        <x:v>original Maps album version</x:v>
      </x:c>
      <x:c r="G204" s="37" t="str">
        <x:v>New York / Los Angeles</x:v>
      </x:c>
      <x:c r="H204" s="37" t="str">
        <x:v>abstract; producer-MC; narrative</x:v>
      </x:c>
      <x:c r="I204" s="37" t="str">
        <x:v>Elliptical travel writing and producer-MC world building</x:v>
      </x:c>
      <x:c r="J204" s="37" t="str">
        <x:v>provisional</x:v>
      </x:c>
      <x:c r="K204" s="37" t="str">
        <x:v>metadata_unverified</x:v>
      </x:c>
      <x:c r="L204" s="37" t="str">
        <x:v>soundcloud_unresolved</x:v>
      </x:c>
      <x:c r="M204" s="37" t="str"/>
      <x:c r="N204" s="37" t="str">
        <x:v>Contemporary connoisseur anchor</x:v>
      </x:c>
      <x:c r="O204" s="37" t="str">
        <x:v>us</x:v>
      </x:c>
      <x:c r="P204" s="37" t="str">
        <x:v>non_mc_role_or_live</x:v>
      </x:c>
      <x:c r="Q204" s="37" t="n">
        <x:v>0</x:v>
      </x:c>
      <x:c r="R204" s="37" t="n">
        <x:v>0</x:v>
      </x:c>
      <x:c r="S204" s="37" t="n">
        <x:v>1</x:v>
      </x:c>
    </x:row>
    <x:row r="205">
      <x:c r="A205" s="36" t="n">
        <x:v>204</x:v>
      </x:c>
      <x:c r="B205" s="36" t="str">
        <x:v>HH12</x:v>
      </x:c>
      <x:c r="C205" s="36" t="n">
        <x:v>2020</x:v>
      </x:c>
      <x:c r="D205" s="37" t="str">
        <x:v>Boldy James and The Alchemist</x:v>
      </x:c>
      <x:c r="E205" s="37" t="str">
        <x:v>Brickmile to Montana</x:v>
      </x:c>
      <x:c r="F205" s="37" t="str">
        <x:v>original The Price of Tea in China version</x:v>
      </x:c>
      <x:c r="G205" s="37" t="str">
        <x:v>Detroit / Los Angeles</x:v>
      </x:c>
      <x:c r="H205" s="37" t="str">
        <x:v>underground; producer-MC; street</x:v>
      </x:c>
      <x:c r="I205" s="37" t="str">
        <x:v>Minimal producer-MC revival and elliptical Detroit street writing</x:v>
      </x:c>
      <x:c r="J205" s="37" t="str">
        <x:v>provisional</x:v>
      </x:c>
      <x:c r="K205" s="37" t="str">
        <x:v>metadata_unverified</x:v>
      </x:c>
      <x:c r="L205" s="37" t="str">
        <x:v>soundcloud_unresolved</x:v>
      </x:c>
      <x:c r="M205" s="37" t="str"/>
      <x:c r="N205" s="37" t="str">
        <x:v>Version verify</x:v>
      </x:c>
      <x:c r="O205" s="37" t="str">
        <x:v>us</x:v>
      </x:c>
      <x:c r="P205" s="37" t="str">
        <x:v>non_mc_role_or_live</x:v>
      </x:c>
      <x:c r="Q205" s="37" t="n">
        <x:v>0</x:v>
      </x:c>
      <x:c r="R205" s="37" t="n">
        <x:v>0</x:v>
      </x:c>
      <x:c r="S205" s="37" t="n">
        <x:v>1</x:v>
      </x:c>
    </x:row>
    <x:row r="206">
      <x:c r="A206" s="36" t="n">
        <x:v>205</x:v>
      </x:c>
      <x:c r="B206" s="36" t="str">
        <x:v>HH12</x:v>
      </x:c>
      <x:c r="C206" s="36" t="n">
        <x:v>2022</x:v>
      </x:c>
      <x:c r="D206" s="37" t="str">
        <x:v>Kendrick Lamar</x:v>
      </x:c>
      <x:c r="E206" s="37" t="str">
        <x:v>The Heart Part 5</x:v>
      </x:c>
      <x:c r="F206" s="37" t="str">
        <x:v>original single version</x:v>
      </x:c>
      <x:c r="G206" s="37" t="str">
        <x:v>Compton / California</x:v>
      </x:c>
      <x:c r="H206" s="37" t="str">
        <x:v>political; persona; video</x:v>
      </x:c>
      <x:c r="I206" s="37" t="str">
        <x:v>Shifting public persona grief responsibility and visual text</x:v>
      </x:c>
      <x:c r="J206" s="37" t="str">
        <x:v>provisional</x:v>
      </x:c>
      <x:c r="K206" s="37" t="str">
        <x:v>metadata_unverified</x:v>
      </x:c>
      <x:c r="L206" s="37" t="str">
        <x:v>soundcloud_unresolved</x:v>
      </x:c>
      <x:c r="M206" s="37" t="str"/>
      <x:c r="N206" s="37" t="str">
        <x:v>Video context is integral</x:v>
      </x:c>
      <x:c r="O206" s="37" t="str">
        <x:v>us</x:v>
      </x:c>
      <x:c r="P206" s="37" t="str"/>
      <x:c r="Q206" s="37" t="n">
        <x:v>0</x:v>
      </x:c>
      <x:c r="R206" s="37" t="n">
        <x:v>0</x:v>
      </x:c>
      <x:c r="S206" s="37" t="n">
        <x:v>0</x:v>
      </x:c>
    </x:row>
    <x:row r="207">
      <x:c r="A207" s="36" t="n">
        <x:v>206</x:v>
      </x:c>
      <x:c r="B207" s="36" t="str">
        <x:v>HH12</x:v>
      </x:c>
      <x:c r="C207" s="36" t="n">
        <x:v>2022</x:v>
      </x:c>
      <x:c r="D207" s="37" t="str">
        <x:v>JID featuring Kenny Mason</x:v>
      </x:c>
      <x:c r="E207" s="37" t="str">
        <x:v>Dance Now</x:v>
      </x:c>
      <x:c r="F207" s="37" t="str">
        <x:v>original The Forever Story version</x:v>
      </x:c>
      <x:c r="G207" s="37" t="str">
        <x:v>Atlanta</x:v>
      </x:c>
      <x:c r="H207" s="37" t="str">
        <x:v>lyrical; modern-South; rhythm</x:v>
      </x:c>
      <x:c r="I207" s="37" t="str">
        <x:v>Contemporary technical flow within Southern lineage</x:v>
      </x:c>
      <x:c r="J207" s="37" t="str">
        <x:v>provisional</x:v>
      </x:c>
      <x:c r="K207" s="37" t="str">
        <x:v>metadata_unverified</x:v>
      </x:c>
      <x:c r="L207" s="37" t="str">
        <x:v>soundcloud_unresolved</x:v>
      </x:c>
      <x:c r="M207" s="37" t="str"/>
      <x:c r="N207" s="37" t="str">
        <x:v>Feature and sample credits</x:v>
      </x:c>
      <x:c r="O207" s="37" t="str">
        <x:v>us</x:v>
      </x:c>
      <x:c r="P207" s="37" t="str"/>
      <x:c r="Q207" s="37" t="n">
        <x:v>0</x:v>
      </x:c>
      <x:c r="R207" s="37" t="n">
        <x:v>0</x:v>
      </x:c>
      <x:c r="S207" s="37" t="n">
        <x:v>0</x:v>
      </x:c>
    </x:row>
    <x:row r="208">
      <x:c r="A208" s="36" t="n">
        <x:v>207</x:v>
      </x:c>
      <x:c r="B208" s="36" t="str">
        <x:v>HH12</x:v>
      </x:c>
      <x:c r="C208" s="36" t="n">
        <x:v>2024</x:v>
      </x:c>
      <x:c r="D208" s="37" t="str">
        <x:v>Doechii</x:v>
      </x:c>
      <x:c r="E208" s="37" t="str">
        <x:v>Nissan Altima</x:v>
      </x:c>
      <x:c r="F208" s="37" t="str">
        <x:v>original Alligator Bites Never Heal version</x:v>
      </x:c>
      <x:c r="G208" s="37" t="str">
        <x:v>Florida</x:v>
      </x:c>
      <x:c r="H208" s="37" t="str">
        <x:v>women; queer; mixtape-form; battle</x:v>
      </x:c>
      <x:c r="I208" s="37" t="str">
        <x:v>Rapid flow switches humor and modern mixtape framing</x:v>
      </x:c>
      <x:c r="J208" s="37" t="str">
        <x:v>provisional</x:v>
      </x:c>
      <x:c r="K208" s="37" t="str">
        <x:v>metadata_unverified</x:v>
      </x:c>
      <x:c r="L208" s="37" t="str">
        <x:v>soundcloud_unresolved</x:v>
      </x:c>
      <x:c r="M208" s="37" t="str"/>
      <x:c r="N208" s="37" t="str">
        <x:v>Current judgment remains provisional</x:v>
      </x:c>
      <x:c r="O208" s="37" t="str">
        <x:v>us</x:v>
      </x:c>
      <x:c r="P208" s="37" t="str">
        <x:v>women;queer</x:v>
      </x:c>
      <x:c r="Q208" s="37" t="n">
        <x:v>1</x:v>
      </x:c>
      <x:c r="R208" s="37" t="n">
        <x:v>1</x:v>
      </x:c>
      <x:c r="S208" s="37" t="n">
        <x:v>0</x:v>
      </x:c>
    </x:row>
    <x:row r="209">
      <x:c r="A209" s="36" t="n">
        <x:v>208</x:v>
      </x:c>
      <x:c r="B209" s="36" t="str">
        <x:v>HH12</x:v>
      </x:c>
      <x:c r="C209" s="36" t="n">
        <x:v>2024</x:v>
      </x:c>
      <x:c r="D209" s="37" t="str">
        <x:v>Rapsody</x:v>
      </x:c>
      <x:c r="E209" s="37" t="str">
        <x:v>Asteroids</x:v>
      </x:c>
      <x:c r="F209" s="37" t="str">
        <x:v>original Please Don't Cry version</x:v>
      </x:c>
      <x:c r="G209" s="37" t="str">
        <x:v>North Carolina</x:v>
      </x:c>
      <x:c r="H209" s="37" t="str">
        <x:v>women; lyrical; Hit-Boy</x:v>
      </x:c>
      <x:c r="I209" s="37" t="str">
        <x:v>Mature technical and personal writing in current production</x:v>
      </x:c>
      <x:c r="J209" s="37" t="str">
        <x:v>provisional</x:v>
      </x:c>
      <x:c r="K209" s="37" t="str">
        <x:v>metadata_unverified</x:v>
      </x:c>
      <x:c r="L209" s="37" t="str">
        <x:v>soundcloud_unresolved</x:v>
      </x:c>
      <x:c r="M209" s="37" t="str"/>
      <x:c r="N209" s="37" t="str">
        <x:v>Current judgment remains provisional</x:v>
      </x:c>
      <x:c r="O209" s="37" t="str">
        <x:v>us</x:v>
      </x:c>
      <x:c r="P209" s="37" t="str">
        <x:v>women</x:v>
      </x:c>
      <x:c r="Q209" s="37" t="n">
        <x:v>1</x:v>
      </x:c>
      <x:c r="R209" s="37" t="n">
        <x:v>0</x:v>
      </x:c>
      <x:c r="S209" s="37" t="n">
        <x:v>0</x:v>
      </x:c>
    </x:row>
    <x:row r="210">
      <x:c r="A210" s="36" t="n">
        <x:v>209</x:v>
      </x:c>
      <x:c r="B210" s="36" t="str">
        <x:v>HH12</x:v>
      </x:c>
      <x:c r="C210" s="36" t="n">
        <x:v>2022</x:v>
      </x:c>
      <x:c r="D210" s="37" t="str">
        <x:v>MIKE</x:v>
      </x:c>
      <x:c r="E210" s="37" t="str">
        <x:v>Nuthin I can do is Wrng</x:v>
      </x:c>
      <x:c r="F210" s="37" t="str">
        <x:v>original Beware of the Monkey version</x:v>
      </x:c>
      <x:c r="G210" s="37" t="str">
        <x:v>New York</x:v>
      </x:c>
      <x:c r="H210" s="37" t="str">
        <x:v>abstract; lo-fi; independent</x:v>
      </x:c>
      <x:c r="I210" s="37" t="str">
        <x:v>Compressed sample collage self-production and independent ecosystem</x:v>
      </x:c>
      <x:c r="J210" s="37" t="str">
        <x:v>provisional</x:v>
      </x:c>
      <x:c r="K210" s="37" t="str">
        <x:v>verified</x:v>
      </x:c>
      <x:c r="L210" s="37" t="str">
        <x:v>soundcloud_unresolved</x:v>
      </x:c>
      <x:c r="M210" s="37" t="str">
        <x:v>https://mikelikesrap.bandcamp.com/track/nuthin-i-can-do-is-wrng</x:v>
      </x:c>
      <x:c r="N210" s="37" t="str">
        <x:v>Artist Bandcamp verifies title album date and production credit</x:v>
      </x:c>
      <x:c r="O210" s="37" t="str">
        <x:v>us</x:v>
      </x:c>
      <x:c r="P210" s="37" t="str"/>
      <x:c r="Q210" s="37" t="n">
        <x:v>0</x:v>
      </x:c>
      <x:c r="R210" s="37" t="n">
        <x:v>0</x:v>
      </x:c>
      <x:c r="S210" s="37" t="n">
        <x:v>0</x:v>
      </x:c>
    </x:row>
    <x:row r="211">
      <x:c r="A211" s="36" t="n">
        <x:v>210</x:v>
      </x:c>
      <x:c r="B211" s="36" t="str">
        <x:v>HH12</x:v>
      </x:c>
      <x:c r="C211" s="36" t="n">
        <x:v>2021</x:v>
      </x:c>
      <x:c r="D211" s="37" t="str">
        <x:v>Babyface Ray</x:v>
      </x:c>
      <x:c r="E211" s="37" t="str">
        <x:v>Paperwork Party</x:v>
      </x:c>
      <x:c r="F211" s="37" t="str">
        <x:v>original Unfuckwitable version</x:v>
      </x:c>
      <x:c r="G211" s="37" t="str">
        <x:v>Detroit</x:v>
      </x:c>
      <x:c r="H211" s="37" t="str">
        <x:v>Detroit; conversational-flow; street</x:v>
      </x:c>
      <x:c r="I211" s="37" t="str">
        <x:v>Off-center conversational rhythm in modern Detroit rap</x:v>
      </x:c>
      <x:c r="J211" s="37" t="str">
        <x:v>provisional</x:v>
      </x:c>
      <x:c r="K211" s="37" t="str">
        <x:v>metadata_unverified</x:v>
      </x:c>
      <x:c r="L211" s="37" t="str">
        <x:v>soundcloud_unresolved</x:v>
      </x:c>
      <x:c r="M211" s="37" t="str"/>
      <x:c r="N211" s="37" t="str">
        <x:v>Version verify</x:v>
      </x:c>
      <x:c r="O211" s="37" t="str">
        <x:v>us</x:v>
      </x:c>
      <x:c r="P211" s="37" t="str"/>
      <x:c r="Q211" s="37" t="n">
        <x:v>0</x:v>
      </x:c>
      <x:c r="R211" s="37" t="n">
        <x:v>0</x:v>
      </x:c>
      <x:c r="S211" s="37" t="n">
        <x:v>0</x:v>
      </x:c>
    </x:row>
    <x:row r="212">
      <x:c r="A212" s="36" t="n">
        <x:v>211</x:v>
      </x:c>
      <x:c r="B212" s="36" t="str">
        <x:v>HH12</x:v>
      </x:c>
      <x:c r="C212" s="36" t="n">
        <x:v>2021</x:v>
      </x:c>
      <x:c r="D212" s="37" t="str">
        <x:v>Yeat</x:v>
      </x:c>
      <x:c r="E212" s="37" t="str">
        <x:v>Gët Busy</x:v>
      </x:c>
      <x:c r="F212" s="37" t="str">
        <x:v>original Up 2 Më version</x:v>
      </x:c>
      <x:c r="G212" s="37" t="str">
        <x:v>Oregon / internet</x:v>
      </x:c>
      <x:c r="H212" s="37" t="str">
        <x:v>rage; plugg-descendant; vocal-timbre</x:v>
      </x:c>
      <x:c r="I212" s="37" t="str">
        <x:v>Rage synthesis vocal neologism and internet producer networks</x:v>
      </x:c>
      <x:c r="J212" s="37" t="str">
        <x:v>provisional</x:v>
      </x:c>
      <x:c r="K212" s="37" t="str">
        <x:v>metadata_unverified</x:v>
      </x:c>
      <x:c r="L212" s="37" t="str">
        <x:v>soundcloud_unresolved</x:v>
      </x:c>
      <x:c r="M212" s="37" t="str"/>
      <x:c r="N212" s="37" t="str">
        <x:v>Diacritics and original master verify</x:v>
      </x:c>
      <x:c r="O212" s="37" t="str">
        <x:v>us</x:v>
      </x:c>
      <x:c r="P212" s="37" t="str"/>
      <x:c r="Q212" s="37" t="n">
        <x:v>0</x:v>
      </x:c>
      <x:c r="R212" s="37" t="n">
        <x:v>0</x:v>
      </x:c>
      <x:c r="S212" s="37" t="n">
        <x:v>0</x:v>
      </x:c>
    </x:row>
    <x:row r="213">
      <x:c r="A213" s="36" t="n">
        <x:v>212</x:v>
      </x:c>
      <x:c r="B213" s="36" t="str">
        <x:v>HH12</x:v>
      </x:c>
      <x:c r="C213" s="36" t="n">
        <x:v>2022</x:v>
      </x:c>
      <x:c r="D213" s="37" t="str">
        <x:v>GloRilla and Hitkidd</x:v>
      </x:c>
      <x:c r="E213" s="37" t="str">
        <x:v>F.N.F. (Let's Go)</x:v>
      </x:c>
      <x:c r="F213" s="37" t="str">
        <x:v>original single version</x:v>
      </x:c>
      <x:c r="G213" s="37" t="str">
        <x:v>Memphis</x:v>
      </x:c>
      <x:c r="H213" s="37" t="str">
        <x:v>women; Memphis; anthem</x:v>
      </x:c>
      <x:c r="I213" s="37" t="str">
        <x:v>Memphis woman-led breakout and chant architecture</x:v>
      </x:c>
      <x:c r="J213" s="37" t="str">
        <x:v>provisional</x:v>
      </x:c>
      <x:c r="K213" s="37" t="str">
        <x:v>metadata_unverified</x:v>
      </x:c>
      <x:c r="L213" s="37" t="str">
        <x:v>soundcloud_unresolved</x:v>
      </x:c>
      <x:c r="M213" s="37" t="str"/>
      <x:c r="N213" s="37" t="str">
        <x:v>Use original rather than later remix</x:v>
      </x:c>
      <x:c r="O213" s="37" t="str">
        <x:v>us</x:v>
      </x:c>
      <x:c r="P213" s="37" t="str">
        <x:v>women</x:v>
      </x:c>
      <x:c r="Q213" s="37" t="n">
        <x:v>1</x:v>
      </x:c>
      <x:c r="R213" s="37" t="n">
        <x:v>0</x:v>
      </x:c>
      <x:c r="S213" s="37" t="n">
        <x:v>0</x:v>
      </x:c>
    </x:row>
    <x:row r="214">
      <x:c r="A214" s="36" t="n">
        <x:v>213</x:v>
      </x:c>
      <x:c r="B214" s="36" t="str">
        <x:v>HH12</x:v>
      </x:c>
      <x:c r="C214" s="36" t="n">
        <x:v>2020</x:v>
      </x:c>
      <x:c r="D214" s="37" t="str">
        <x:v>Headie One featuring AJ Tracey and Stormzy</x:v>
      </x:c>
      <x:c r="E214" s="37" t="str">
        <x:v>Ain't It Different</x:v>
      </x:c>
      <x:c r="F214" s="37" t="str">
        <x:v>original Edna album version</x:v>
      </x:c>
      <x:c r="G214" s="37" t="str">
        <x:v>London / United Kingdom</x:v>
      </x:c>
      <x:c r="H214" s="37" t="str">
        <x:v>UK-drill; collaboration; sample</x:v>
      </x:c>
      <x:c r="I214" s="37" t="str">
        <x:v>UK drill's mainstream integration and cross-generational MC exchange</x:v>
      </x:c>
      <x:c r="J214" s="37" t="str">
        <x:v>provisional</x:v>
      </x:c>
      <x:c r="K214" s="37" t="str">
        <x:v>metadata_unverified</x:v>
      </x:c>
      <x:c r="L214" s="37" t="str">
        <x:v>soundcloud_unresolved</x:v>
      </x:c>
      <x:c r="M214" s="37" t="str"/>
      <x:c r="N214" s="37" t="str">
        <x:v>Feature and sample audit</x:v>
      </x:c>
      <x:c r="O214" s="37" t="str">
        <x:v>transnational_or_non_us</x:v>
      </x:c>
      <x:c r="P214" s="37" t="str"/>
      <x:c r="Q214" s="37" t="n">
        <x:v>0</x:v>
      </x:c>
      <x:c r="R214" s="37" t="n">
        <x:v>0</x:v>
      </x:c>
      <x:c r="S214" s="37" t="n">
        <x:v>0</x:v>
      </x:c>
    </x:row>
    <x:row r="215">
      <x:c r="A215" s="36" t="n">
        <x:v>214</x:v>
      </x:c>
      <x:c r="B215" s="36" t="str">
        <x:v>HH12</x:v>
      </x:c>
      <x:c r="C215" s="36" t="n">
        <x:v>2024</x:v>
      </x:c>
      <x:c r="D215" s="37" t="str">
        <x:v>Kneecap</x:v>
      </x:c>
      <x:c r="E215" s="37" t="str">
        <x:v>Sick In The Head</x:v>
      </x:c>
      <x:c r="F215" s="37" t="str">
        <x:v>original Fine Art album version</x:v>
      </x:c>
      <x:c r="G215" s="37" t="str">
        <x:v>Belfast / Ireland</x:v>
      </x:c>
      <x:c r="H215" s="37" t="str">
        <x:v>Irish-language; political; global</x:v>
      </x:c>
      <x:c r="I215" s="37" t="str">
        <x:v>Irish-English rap satire local identity and album-scale scene breakthrough</x:v>
      </x:c>
      <x:c r="J215" s="37" t="str">
        <x:v>provisional</x:v>
      </x:c>
      <x:c r="K215" s="37" t="str">
        <x:v>verified</x:v>
      </x:c>
      <x:c r="L215" s="37" t="str">
        <x:v>soundcloud_unresolved</x:v>
      </x:c>
      <x:c r="M215" s="37" t="str">
        <x:v>https://kneecap.bandcamp.com/album/fine-art</x:v>
      </x:c>
      <x:c r="N215" s="37" t="str">
        <x:v>Artist Bandcamp verifies the 2024 recording and album</x:v>
      </x:c>
      <x:c r="O215" s="37" t="str">
        <x:v>transnational_or_non_us</x:v>
      </x:c>
      <x:c r="P215" s="37" t="str"/>
      <x:c r="Q215" s="37" t="n">
        <x:v>0</x:v>
      </x:c>
      <x:c r="R215" s="37" t="n">
        <x:v>0</x:v>
      </x:c>
      <x:c r="S215" s="37" t="n">
        <x:v>0</x:v>
      </x:c>
    </x:row>
    <x:row r="216">
      <x:c r="A216" s="36" t="n">
        <x:v>215</x:v>
      </x:c>
      <x:c r="B216" s="36" t="str">
        <x:v>HH12</x:v>
      </x:c>
      <x:c r="C216" s="36" t="n">
        <x:v>2021</x:v>
      </x:c>
      <x:c r="D216" s="37" t="str">
        <x:v>Lala &amp;ce</x:v>
      </x:c>
      <x:c r="E216" s="37" t="str">
        <x:v>Show Me Love</x:v>
      </x:c>
      <x:c r="F216" s="37" t="str">
        <x:v>original Everything Tasteful version</x:v>
      </x:c>
      <x:c r="G216" s="37" t="str">
        <x:v>France / Côte d'Ivoire diaspora</x:v>
      </x:c>
      <x:c r="H216" s="37" t="str">
        <x:v>women; queer; French-rap; cloud</x:v>
      </x:c>
      <x:c r="I216" s="37" t="str">
        <x:v>Queer diasporic French rap and atmospheric vocal form</x:v>
      </x:c>
      <x:c r="J216" s="37" t="str">
        <x:v>provisional</x:v>
      </x:c>
      <x:c r="K216" s="37" t="str">
        <x:v>metadata_unverified</x:v>
      </x:c>
      <x:c r="L216" s="37" t="str">
        <x:v>soundcloud_unresolved</x:v>
      </x:c>
      <x:c r="M216" s="37" t="str"/>
      <x:c r="N216" s="37" t="str">
        <x:v>Translation/context required</x:v>
      </x:c>
      <x:c r="O216" s="37" t="str">
        <x:v>transnational_or_non_us</x:v>
      </x:c>
      <x:c r="P216" s="37" t="str">
        <x:v>women;queer</x:v>
      </x:c>
      <x:c r="Q216" s="37" t="n">
        <x:v>1</x:v>
      </x:c>
      <x:c r="R216" s="37" t="n">
        <x:v>1</x:v>
      </x:c>
      <x:c r="S216" s="37" t="n">
        <x:v>0</x:v>
      </x:c>
    </x:row>
    <x:row r="217">
      <x:c r="A217" s="36" t="n">
        <x:v>216</x:v>
      </x:c>
      <x:c r="B217" s="36" t="str">
        <x:v>HH12</x:v>
      </x:c>
      <x:c r="C217" s="36" t="n">
        <x:v>2022</x:v>
      </x:c>
      <x:c r="D217" s="37" t="str">
        <x:v>Black Sherif</x:v>
      </x:c>
      <x:c r="E217" s="37" t="str">
        <x:v>Kwaku the Traveller</x:v>
      </x:c>
      <x:c r="F217" s="37" t="str">
        <x:v>original single/The Villain I Never Was version</x:v>
      </x:c>
      <x:c r="G217" s="37" t="str">
        <x:v>Ghana</x:v>
      </x:c>
      <x:c r="H217" s="37" t="str">
        <x:v>Ghanaian-rap; melodic; global</x:v>
      </x:c>
      <x:c r="I217" s="37" t="str">
        <x:v>Ghanaian narrative voice between rap and local popular music</x:v>
      </x:c>
      <x:c r="J217" s="37" t="str">
        <x:v>provisional</x:v>
      </x:c>
      <x:c r="K217" s="37" t="str">
        <x:v>metadata_unverified</x:v>
      </x:c>
      <x:c r="L217" s="37" t="str">
        <x:v>soundcloud_unresolved</x:v>
      </x:c>
      <x:c r="M217" s="37" t="str"/>
      <x:c r="N217" s="37" t="str">
        <x:v>Boundary and version audit</x:v>
      </x:c>
      <x:c r="O217" s="37" t="str">
        <x:v>transnational_or_non_us</x:v>
      </x:c>
      <x:c r="P217" s="37" t="str"/>
      <x:c r="Q217" s="37" t="n">
        <x:v>0</x:v>
      </x:c>
      <x:c r="R217" s="37" t="n">
        <x:v>0</x:v>
      </x:c>
      <x:c r="S217" s="37" t="n">
        <x:v>0</x:v>
      </x:c>
    </x:row>
    <x:row r="218">
      <x:c r="A218" s="36" t="n">
        <x:v>217</x:v>
      </x:c>
      <x:c r="B218" s="36" t="str">
        <x:v>HH12</x:v>
      </x:c>
      <x:c r="C218" s="36" t="n">
        <x:v>2021</x:v>
      </x:c>
      <x:c r="D218" s="37" t="str">
        <x:v>Blxckie</x:v>
      </x:c>
      <x:c r="E218" s="37" t="str">
        <x:v>Ye x4</x:v>
      </x:c>
      <x:c r="F218" s="37" t="str">
        <x:v>original B4Now version</x:v>
      </x:c>
      <x:c r="G218" s="37" t="str">
        <x:v>Durban / South Africa</x:v>
      </x:c>
      <x:c r="H218" s="37" t="str">
        <x:v>South-African-rap; trap; multilingual</x:v>
      </x:c>
      <x:c r="I218" s="37" t="str">
        <x:v>South African melodic trap localization and youth scene</x:v>
      </x:c>
      <x:c r="J218" s="37" t="str">
        <x:v>provisional</x:v>
      </x:c>
      <x:c r="K218" s="37" t="str">
        <x:v>metadata_unverified</x:v>
      </x:c>
      <x:c r="L218" s="37" t="str">
        <x:v>soundcloud_unresolved</x:v>
      </x:c>
      <x:c r="M218" s="37" t="str"/>
      <x:c r="N218" s="37" t="str">
        <x:v>Language/metadata audit</x:v>
      </x:c>
      <x:c r="O218" s="37" t="str">
        <x:v>transnational_or_non_us</x:v>
      </x:c>
      <x:c r="P218" s="37" t="str"/>
      <x:c r="Q218" s="37" t="n">
        <x:v>0</x:v>
      </x:c>
      <x:c r="R218" s="37" t="n">
        <x:v>0</x:v>
      </x:c>
      <x:c r="S218" s="37" t="n">
        <x:v>0</x:v>
      </x:c>
    </x:row>
    <x:row r="219">
      <x:c r="A219" s="36" t="n">
        <x:v>218</x:v>
      </x:c>
      <x:c r="B219" s="36" t="str">
        <x:v>HH12</x:v>
      </x:c>
      <x:c r="C219" s="36" t="n">
        <x:v>2023</x:v>
      </x:c>
      <x:c r="D219" s="37" t="str">
        <x:v>MC Yallah and Debmaster</x:v>
      </x:c>
      <x:c r="E219" s="37" t="str">
        <x:v>Sikwebela</x:v>
      </x:c>
      <x:c r="F219" s="37" t="str">
        <x:v>original Yallah Beibe version</x:v>
      </x:c>
      <x:c r="G219" s="37" t="str">
        <x:v>Uganda / Kenya</x:v>
      </x:c>
      <x:c r="H219" s="37" t="str">
        <x:v>women; African-hip-hop; experimental</x:v>
      </x:c>
      <x:c r="I219" s="37" t="str">
        <x:v>Multilingual flow and East African experimental producer circuit</x:v>
      </x:c>
      <x:c r="J219" s="37" t="str">
        <x:v>provisional</x:v>
      </x:c>
      <x:c r="K219" s="37" t="str">
        <x:v>verified</x:v>
      </x:c>
      <x:c r="L219" s="37" t="str">
        <x:v>soundcloud_unresolved</x:v>
      </x:c>
      <x:c r="M219" s="37" t="str">
        <x:v>https://hakunakulala.bandcamp.com/track/sikwebela</x:v>
      </x:c>
      <x:c r="N219" s="37" t="str">
        <x:v>Label Bandcamp verifies title date album and Debmaster production</x:v>
      </x:c>
      <x:c r="O219" s="37" t="str">
        <x:v>transnational_or_non_us</x:v>
      </x:c>
      <x:c r="P219" s="37" t="str">
        <x:v>women</x:v>
      </x:c>
      <x:c r="Q219" s="37" t="n">
        <x:v>1</x:v>
      </x:c>
      <x:c r="R219" s="37" t="n">
        <x:v>0</x:v>
      </x:c>
      <x:c r="S219" s="37" t="n">
        <x:v>0</x:v>
      </x:c>
    </x:row>
    <x:row r="220">
      <x:c r="A220" s="36" t="n">
        <x:v>219</x:v>
      </x:c>
      <x:c r="B220" s="36" t="str">
        <x:v>HH12</x:v>
      </x:c>
      <x:c r="C220" s="36" t="n">
        <x:v>2020</x:v>
      </x:c>
      <x:c r="D220" s="37" t="str">
        <x:v>Barkaa</x:v>
      </x:c>
      <x:c r="E220" s="37" t="str">
        <x:v>King Brown</x:v>
      </x:c>
      <x:c r="F220" s="37" t="str">
        <x:v>original single version</x:v>
      </x:c>
      <x:c r="G220" s="37" t="str">
        <x:v>Malyangapa / Australia</x:v>
      </x:c>
      <x:c r="H220" s="37" t="str">
        <x:v>women; Indigenous; Australian-rap; political</x:v>
      </x:c>
      <x:c r="I220" s="37" t="str">
        <x:v>Indigenous Australian woman authority and anti-colonial local scene</x:v>
      </x:c>
      <x:c r="J220" s="37" t="str">
        <x:v>provisional</x:v>
      </x:c>
      <x:c r="K220" s="37" t="str">
        <x:v>metadata_unverified</x:v>
      </x:c>
      <x:c r="L220" s="37" t="str">
        <x:v>soundcloud_unresolved</x:v>
      </x:c>
      <x:c r="M220" s="37" t="str"/>
      <x:c r="N220" s="37" t="str">
        <x:v>Identity terminology and version audit</x:v>
      </x:c>
      <x:c r="O220" s="37" t="str">
        <x:v>transnational_or_non_us</x:v>
      </x:c>
      <x:c r="P220" s="37" t="str">
        <x:v>women</x:v>
      </x:c>
      <x:c r="Q220" s="37" t="n">
        <x:v>1</x:v>
      </x:c>
      <x:c r="R220" s="37" t="n">
        <x:v>0</x:v>
      </x:c>
      <x:c r="S220" s="37" t="n">
        <x:v>0</x:v>
      </x:c>
    </x:row>
    <x:row r="221">
      <x:c r="A221" s="38" t="n">
        <x:v>220</x:v>
      </x:c>
      <x:c r="B221" s="38" t="str">
        <x:v>HH12</x:v>
      </x:c>
      <x:c r="C221" s="38" t="n">
        <x:v>2020</x:v>
      </x:c>
      <x:c r="D221" s="39" t="str">
        <x:v>Seedhe Maut</x:v>
      </x:c>
      <x:c r="E221" s="39" t="str">
        <x:v>Namastute</x:v>
      </x:c>
      <x:c r="F221" s="39" t="str">
        <x:v>original single version</x:v>
      </x:c>
      <x:c r="G221" s="39" t="str">
        <x:v>Delhi / India</x:v>
      </x:c>
      <x:c r="H221" s="39" t="str">
        <x:v>Indian-rap; Hindi; duo</x:v>
      </x:c>
      <x:c r="I221" s="39" t="str">
        <x:v>Hindi duo interplay and independent Indian scene scale</x:v>
      </x:c>
      <x:c r="J221" s="39" t="str">
        <x:v>provisional</x:v>
      </x:c>
      <x:c r="K221" s="39" t="str">
        <x:v>metadata_unverified</x:v>
      </x:c>
      <x:c r="L221" s="39" t="str">
        <x:v>soundcloud_unresolved</x:v>
      </x:c>
      <x:c r="M221" s="39" t="str"/>
      <x:c r="N221" s="39" t="str">
        <x:v>Production and translation notes required</x:v>
      </x:c>
      <x:c r="O221" s="39" t="str">
        <x:v>transnational_or_non_us</x:v>
      </x:c>
      <x:c r="P221" s="39" t="str"/>
      <x:c r="Q221" s="39" t="n">
        <x:v>0</x:v>
      </x:c>
      <x:c r="R221" s="39" t="n">
        <x:v>0</x:v>
      </x:c>
      <x:c r="S221" s="39" t="n">
        <x:v>0</x:v>
      </x:c>
    </x:row>
  </x:sheetData>
  <x:conditionalFormatting sqref="J2:J221">
    <x:cfRule type="containsText" dxfId="0" priority="1" operator="containsText" text="accepted"/>
    <x:cfRule type="containsText" dxfId="1" priority="2" operator="containsText" text="provisional"/>
  </x:conditionalFormatting>
  <x:conditionalFormatting sqref="K2:L221">
    <x:cfRule type="containsText" dxfId="2" priority="3" operator="containsText" text="unverified"/>
  </x:conditionalFormatting>
  <x:dataValidations count="3">
    <x:dataValidation type="list" sqref="J2:J221">
      <x:formula1>"provisional,accepted,rejected,fringe"</x:formula1>
    </x:dataValidation>
    <x:dataValidation type="list" sqref="K2:K221">
      <x:formula1>"metadata_unverified,verified,version_conflict,unavailable"</x:formula1>
    </x:dataValidation>
    <x:dataValidation type="list" sqref="L2:L221">
      <x:formula1>"soundcloud_unresolved,resolved,unavailable,link_stale"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dfb713b95346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6" hidden="0" customWidth="1"/>
    <x:col min="9" max="9" width="16" hidden="0" customWidth="1"/>
    <x:col min="10" max="10" width="45" hidden="0" customWidth="1"/>
    <x:col min="11" max="11" width="45" hidden="0" customWidth="1"/>
    <x:col min="12" max="12" width="42" hidden="0" customWidth="1"/>
  </x:cols>
  <x:sheetData>
    <x:row r="1" ht="28" customHeight="1">
      <x:c r="A1" s="18" t="str">
        <x:v>position</x:v>
      </x:c>
      <x:c r="B1" s="18" t="str">
        <x:v>status</x:v>
      </x:c>
      <x:c r="C1" s="18" t="str">
        <x:v>expected_year</x:v>
      </x:c>
      <x:c r="D1" s="18" t="str">
        <x:v>artist</x:v>
      </x:c>
      <x:c r="E1" s="18" t="str">
        <x:v>title</x:v>
      </x:c>
      <x:c r="F1" s="18" t="str">
        <x:v>matched_title</x:v>
      </x:c>
      <x:c r="G1" s="18" t="str">
        <x:v>matched_artist</x:v>
      </x:c>
      <x:c r="H1" s="18" t="str">
        <x:v>first_release_date</x:v>
      </x:c>
      <x:c r="I1" s="18" t="str">
        <x:v>year_distance</x:v>
      </x:c>
      <x:c r="J1" s="18" t="str">
        <x:v>musicbrainz_url</x:v>
      </x:c>
      <x:c r="K1" s="18" t="str">
        <x:v>query_url</x:v>
      </x:c>
      <x:c r="L1" s="18" t="str">
        <x:v>authority_note</x:v>
      </x:c>
    </x:row>
    <x:row r="2">
      <x:c r="A2" s="34" t="n">
        <x:v>1</x:v>
      </x:c>
      <x:c r="B2" s="34" t="str">
        <x:v>candidate_found</x:v>
      </x:c>
      <x:c r="C2" s="34" t="n">
        <x:v>1968</x:v>
      </x:c>
      <x:c r="D2" s="35" t="str">
        <x:v>Pigmeat Markham</x:v>
      </x:c>
      <x:c r="E2" s="35" t="str">
        <x:v>Here Comes the Judge</x:v>
      </x:c>
      <x:c r="F2" s="35" t="str">
        <x:v>Here Comes the Judge</x:v>
      </x:c>
      <x:c r="G2" s="35" t="str">
        <x:v>Pigmeat Markham</x:v>
      </x:c>
      <x:c r="H2" s="35" t="str">
        <x:v>1968</x:v>
      </x:c>
      <x:c r="I2" s="35" t="n">
        <x:v>0</x:v>
      </x:c>
      <x:c r="J2" s="35" t="str">
        <x:v>https://musicbrainz.org/recording/8ce34c68-516c-41fb-8258-f45a5dae0146</x:v>
      </x:c>
      <x:c r="K2" s="35" t="str">
        <x:v>https://musicbrainz.org/ws/2/recording/?query=recording%3A%22Here+Comes+the+Judge%22+AND+artist%3A%22Pigmeat+Markham%22&amp;fmt=json&amp;limit=8</x:v>
      </x:c>
      <x:c r="L2" s="35" t="str">
        <x:v>Candidate discovery only; does not verify the intended version</x:v>
      </x:c>
    </x:row>
    <x:row r="3">
      <x:c r="A3" s="36" t="n">
        <x:v>2</x:v>
      </x:c>
      <x:c r="B3" s="36" t="str">
        <x:v>candidate_found</x:v>
      </x:c>
      <x:c r="C3" s="36" t="n">
        <x:v>1969</x:v>
      </x:c>
      <x:c r="D3" s="37" t="str">
        <x:v>King Stitt</x:v>
      </x:c>
      <x:c r="E3" s="37" t="str">
        <x:v>Fire Corner</x:v>
      </x:c>
      <x:c r="F3" s="37" t="str">
        <x:v>Fire Corner</x:v>
      </x:c>
      <x:c r="G3" s="37" t="str">
        <x:v>King Stitt</x:v>
      </x:c>
      <x:c r="H3" s="37" t="str">
        <x:v>1969</x:v>
      </x:c>
      <x:c r="I3" s="37" t="n">
        <x:v>0</x:v>
      </x:c>
      <x:c r="J3" s="37" t="str">
        <x:v>https://musicbrainz.org/recording/6d63e117-5440-489b-9e2d-22cff8b5f4b1</x:v>
      </x:c>
      <x:c r="K3" s="37" t="str">
        <x:v>https://musicbrainz.org/ws/2/recording/?query=recording%3A%22Fire+Corner%22+AND+artist%3A%22King+Stitt%22&amp;fmt=json&amp;limit=8</x:v>
      </x:c>
      <x:c r="L3" s="37" t="str">
        <x:v>Candidate discovery only; does not verify the intended version</x:v>
      </x:c>
    </x:row>
    <x:row r="4">
      <x:c r="A4" s="36" t="n">
        <x:v>3</x:v>
      </x:c>
      <x:c r="B4" s="36" t="str">
        <x:v>candidate_found</x:v>
      </x:c>
      <x:c r="C4" s="36" t="n">
        <x:v>1970</x:v>
      </x:c>
      <x:c r="D4" s="37" t="str">
        <x:v>The Last Poets</x:v>
      </x:c>
      <x:c r="E4" s="37" t="str">
        <x:v>When the Revolution Comes</x:v>
      </x:c>
      <x:c r="F4" s="37" t="str">
        <x:v>When the Revolution Comes</x:v>
      </x:c>
      <x:c r="G4" s="37" t="str">
        <x:v>The Last Poets</x:v>
      </x:c>
      <x:c r="H4" s="37" t="str">
        <x:v>1970</x:v>
      </x:c>
      <x:c r="I4" s="37" t="n">
        <x:v>0</x:v>
      </x:c>
      <x:c r="J4" s="37" t="str">
        <x:v>https://musicbrainz.org/recording/09c290f6-56d8-4eb1-b904-608c2ffac9f3</x:v>
      </x:c>
      <x:c r="K4" s="37" t="str">
        <x:v>https://musicbrainz.org/ws/2/recording/?query=recording%3A%22When+the+Revolution+Comes%22+AND+artist%3A%22The+Last+Poets%22&amp;fmt=json&amp;limit=8</x:v>
      </x:c>
      <x:c r="L4" s="37" t="str">
        <x:v>Candidate discovery only; does not verify the intended version</x:v>
      </x:c>
    </x:row>
    <x:row r="5">
      <x:c r="A5" s="36" t="n">
        <x:v>4</x:v>
      </x:c>
      <x:c r="B5" s="36" t="str">
        <x:v>candidate_found</x:v>
      </x:c>
      <x:c r="C5" s="36" t="n">
        <x:v>1970</x:v>
      </x:c>
      <x:c r="D5" s="37" t="str">
        <x:v>U-Roy</x:v>
      </x:c>
      <x:c r="E5" s="37" t="str">
        <x:v>Wake the Town</x:v>
      </x:c>
      <x:c r="F5" s="37" t="str">
        <x:v>Wake the Town</x:v>
      </x:c>
      <x:c r="G5" s="37" t="str">
        <x:v>U‐Roy</x:v>
      </x:c>
      <x:c r="H5" s="37" t="str">
        <x:v>2003-08-19</x:v>
      </x:c>
      <x:c r="I5" s="37" t="n">
        <x:v>33</x:v>
      </x:c>
      <x:c r="J5" s="37" t="str">
        <x:v>https://musicbrainz.org/recording/a5a115e4-5fc4-462a-b6fa-6dd870c4ce46</x:v>
      </x:c>
      <x:c r="K5" s="37" t="str">
        <x:v>https://musicbrainz.org/ws/2/recording/?query=recording%3A%22Wake+the+Town%22+AND+artist%3A%22U-Roy%22&amp;fmt=json&amp;limit=8</x:v>
      </x:c>
      <x:c r="L5" s="37" t="str">
        <x:v>Candidate discovery only; does not verify the intended version</x:v>
      </x:c>
    </x:row>
    <x:row r="6">
      <x:c r="A6" s="36" t="n">
        <x:v>5</x:v>
      </x:c>
      <x:c r="B6" s="36" t="str">
        <x:v>candidate_found</x:v>
      </x:c>
      <x:c r="C6" s="36" t="n">
        <x:v>1970</x:v>
      </x:c>
      <x:c r="D6" s="37" t="str">
        <x:v>James Brown</x:v>
      </x:c>
      <x:c r="E6" s="37" t="str">
        <x:v>Funky Drummer</x:v>
      </x:c>
      <x:c r="F6" s="37" t="str">
        <x:v>Funky Drummer</x:v>
      </x:c>
      <x:c r="G6" s="37" t="str">
        <x:v>James Brown</x:v>
      </x:c>
      <x:c r="H6" s="37" t="str">
        <x:v>1986</x:v>
      </x:c>
      <x:c r="I6" s="37" t="n">
        <x:v>16</x:v>
      </x:c>
      <x:c r="J6" s="37" t="str">
        <x:v>https://musicbrainz.org/recording/cc51596d-22d7-468c-b4bb-adc7abd23930</x:v>
      </x:c>
      <x:c r="K6" s="37" t="str">
        <x:v>https://musicbrainz.org/ws/2/recording/?query=recording%3A%22Funky+Drummer%22+AND+artist%3A%22James+Brown%22&amp;fmt=json&amp;limit=8</x:v>
      </x:c>
      <x:c r="L6" s="37" t="str">
        <x:v>Candidate discovery only; does not verify the intended version</x:v>
      </x:c>
    </x:row>
    <x:row r="7">
      <x:c r="A7" s="36" t="n">
        <x:v>6</x:v>
      </x:c>
      <x:c r="B7" s="36" t="str">
        <x:v>candidate_found</x:v>
      </x:c>
      <x:c r="C7" s="36" t="n">
        <x:v>1971</x:v>
      </x:c>
      <x:c r="D7" s="37" t="str">
        <x:v>The Watts Prophets</x:v>
      </x:c>
      <x:c r="E7" s="37" t="str">
        <x:v>Dem Niggers Ain't Playing</x:v>
      </x:c>
      <x:c r="F7" s="37" t="str">
        <x:v>Dem Niggers Ain't Playing</x:v>
      </x:c>
      <x:c r="G7" s="37" t="str">
        <x:v>The Watts Prophets</x:v>
      </x:c>
      <x:c r="H7" s="37" t="str">
        <x:v>2012-02-28</x:v>
      </x:c>
      <x:c r="I7" s="37" t="n">
        <x:v>41</x:v>
      </x:c>
      <x:c r="J7" s="37" t="str">
        <x:v>https://musicbrainz.org/recording/9fc8df53-76f1-494a-9516-def9adceaf0e</x:v>
      </x:c>
      <x:c r="K7" s="37" t="str">
        <x:v>https://musicbrainz.org/ws/2/recording/?query=recording%3A%22Dem+Niggers+Ain%27t+Playing%22+AND+artist%3A%22The+Watts+Prophets%22&amp;fmt=json&amp;limit=8</x:v>
      </x:c>
      <x:c r="L7" s="37" t="str">
        <x:v>Candidate discovery only; does not verify the intended version</x:v>
      </x:c>
    </x:row>
    <x:row r="8">
      <x:c r="A8" s="36" t="n">
        <x:v>7</x:v>
      </x:c>
      <x:c r="B8" s="36" t="str">
        <x:v>candidate_found</x:v>
      </x:c>
      <x:c r="C8" s="36" t="n">
        <x:v>1971</x:v>
      </x:c>
      <x:c r="D8" s="37" t="str">
        <x:v>Gil Scott-Heron</x:v>
      </x:c>
      <x:c r="E8" s="37" t="str">
        <x:v>The Revolution Will Not Be Televised</x:v>
      </x:c>
      <x:c r="F8" s="37" t="str">
        <x:v>The Revolution Will Not Be Televised</x:v>
      </x:c>
      <x:c r="G8" s="37" t="str">
        <x:v>Gil Scott‐Heron</x:v>
      </x:c>
      <x:c r="H8" s="37" t="str">
        <x:v>2003-02-18</x:v>
      </x:c>
      <x:c r="I8" s="37" t="n">
        <x:v>32</x:v>
      </x:c>
      <x:c r="J8" s="37" t="str">
        <x:v>https://musicbrainz.org/recording/7db46ede-99af-4975-8f1f-259054607154</x:v>
      </x:c>
      <x:c r="K8" s="37" t="str">
        <x:v>https://musicbrainz.org/ws/2/recording/?query=recording%3A%22The+Revolution+Will+Not+Be+Televised%22+AND+artist%3A%22Gil+Scott-Heron%22&amp;fmt=json&amp;limit=8</x:v>
      </x:c>
      <x:c r="L8" s="37" t="str">
        <x:v>Candidate discovery only; does not verify the intended version</x:v>
      </x:c>
    </x:row>
    <x:row r="9">
      <x:c r="A9" s="36" t="n">
        <x:v>8</x:v>
      </x:c>
      <x:c r="B9" s="36" t="str">
        <x:v>candidate_found</x:v>
      </x:c>
      <x:c r="C9" s="36" t="n">
        <x:v>1972</x:v>
      </x:c>
      <x:c r="D9" s="37" t="str">
        <x:v>The Jimmy Castor Bunch</x:v>
      </x:c>
      <x:c r="E9" s="37" t="str">
        <x:v>It's Just Begun</x:v>
      </x:c>
      <x:c r="F9" s="37" t="str">
        <x:v>It's Just Begun</x:v>
      </x:c>
      <x:c r="G9" s="37" t="str">
        <x:v>The Jimmy Castor Bunch</x:v>
      </x:c>
      <x:c r="H9" s="37" t="str">
        <x:v>1991</x:v>
      </x:c>
      <x:c r="I9" s="37" t="n">
        <x:v>19</x:v>
      </x:c>
      <x:c r="J9" s="37" t="str">
        <x:v>https://musicbrainz.org/recording/7926de6f-c424-49d4-a0ee-eff94eadd798</x:v>
      </x:c>
      <x:c r="K9" s="37" t="str">
        <x:v>https://musicbrainz.org/ws/2/recording/?query=recording%3A%22It%27s+Just+Begun%22+AND+artist%3A%22The+Jimmy+Castor+Bunch%22&amp;fmt=json&amp;limit=8</x:v>
      </x:c>
      <x:c r="L9" s="37" t="str">
        <x:v>Candidate discovery only; does not verify the intended version</x:v>
      </x:c>
    </x:row>
    <x:row r="10">
      <x:c r="A10" s="36" t="n">
        <x:v>9</x:v>
      </x:c>
      <x:c r="B10" s="36" t="str">
        <x:v>candidate_found</x:v>
      </x:c>
      <x:c r="C10" s="36" t="n">
        <x:v>1972</x:v>
      </x:c>
      <x:c r="D10" s="37" t="str">
        <x:v>Babe Ruth</x:v>
      </x:c>
      <x:c r="E10" s="37" t="str">
        <x:v>The Mexican</x:v>
      </x:c>
      <x:c r="F10" s="37" t="str">
        <x:v>The Mexican</x:v>
      </x:c>
      <x:c r="G10" s="37" t="str">
        <x:v>Babe Ruth</x:v>
      </x:c>
      <x:c r="H10" s="37" t="str">
        <x:v>1994-02-16</x:v>
      </x:c>
      <x:c r="I10" s="37" t="n">
        <x:v>22</x:v>
      </x:c>
      <x:c r="J10" s="37" t="str">
        <x:v>https://musicbrainz.org/recording/45f35be3-a506-40e1-818c-e375485c3634</x:v>
      </x:c>
      <x:c r="K10" s="37" t="str">
        <x:v>https://musicbrainz.org/ws/2/recording/?query=recording%3A%22The+Mexican%22+AND+artist%3A%22Babe+Ruth%22&amp;fmt=json&amp;limit=8</x:v>
      </x:c>
      <x:c r="L10" s="37" t="str">
        <x:v>Candidate discovery only; does not verify the intended version</x:v>
      </x:c>
    </x:row>
    <x:row r="11">
      <x:c r="A11" s="36" t="n">
        <x:v>10</x:v>
      </x:c>
      <x:c r="B11" s="36" t="str">
        <x:v>candidate_found</x:v>
      </x:c>
      <x:c r="C11" s="36" t="n">
        <x:v>1972</x:v>
      </x:c>
      <x:c r="D11" s="37" t="str">
        <x:v>Cymande</x:v>
      </x:c>
      <x:c r="E11" s="37" t="str">
        <x:v>Bra</x:v>
      </x:c>
      <x:c r="F11" s="37" t="str">
        <x:v>Bra</x:v>
      </x:c>
      <x:c r="G11" s="37" t="str">
        <x:v>Cymande</x:v>
      </x:c>
      <x:c r="H11" s="37" t="str">
        <x:v>2003-03-18</x:v>
      </x:c>
      <x:c r="I11" s="37" t="n">
        <x:v>31</x:v>
      </x:c>
      <x:c r="J11" s="37" t="str">
        <x:v>https://musicbrainz.org/recording/494b8300-08f5-4a48-87a8-362d3af9f473</x:v>
      </x:c>
      <x:c r="K11" s="37" t="str">
        <x:v>https://musicbrainz.org/ws/2/recording/?query=recording%3A%22Bra%22+AND+artist%3A%22Cymande%22&amp;fmt=json&amp;limit=8</x:v>
      </x:c>
      <x:c r="L11" s="37" t="str">
        <x:v>Candidate discovery only; does not verify the intended version</x:v>
      </x:c>
    </x:row>
    <x:row r="12">
      <x:c r="A12" s="36" t="n">
        <x:v>11</x:v>
      </x:c>
      <x:c r="B12" s="36" t="str">
        <x:v>candidate_found</x:v>
      </x:c>
      <x:c r="C12" s="36" t="n">
        <x:v>1973</x:v>
      </x:c>
      <x:c r="D12" s="37" t="str">
        <x:v>The Incredible Bongo Band</x:v>
      </x:c>
      <x:c r="E12" s="37" t="str">
        <x:v>Apache</x:v>
      </x:c>
      <x:c r="F12" s="37" t="str">
        <x:v>Apache</x:v>
      </x:c>
      <x:c r="G12" s="37" t="str">
        <x:v>The Incredible Bongo Band</x:v>
      </x:c>
      <x:c r="H12" s="37" t="str">
        <x:v>2008</x:v>
      </x:c>
      <x:c r="I12" s="37" t="n">
        <x:v>35</x:v>
      </x:c>
      <x:c r="J12" s="37" t="str">
        <x:v>https://musicbrainz.org/recording/e42212c9-77b1-4ac9-b078-088d7cc06732</x:v>
      </x:c>
      <x:c r="K12" s="37" t="str">
        <x:v>https://musicbrainz.org/ws/2/recording/?query=recording%3A%22Apache%22+AND+artist%3A%22The+Incredible+Bongo+Band%22&amp;fmt=json&amp;limit=8</x:v>
      </x:c>
      <x:c r="L12" s="37" t="str">
        <x:v>Candidate discovery only; does not verify the intended version</x:v>
      </x:c>
    </x:row>
    <x:row r="13">
      <x:c r="A13" s="36" t="n">
        <x:v>12</x:v>
      </x:c>
      <x:c r="B13" s="36" t="str">
        <x:v>candidate_found</x:v>
      </x:c>
      <x:c r="C13" s="36" t="n">
        <x:v>1973</x:v>
      </x:c>
      <x:c r="D13" s="37" t="str">
        <x:v>Lightnin' Rod</x:v>
      </x:c>
      <x:c r="E13" s="37" t="str">
        <x:v>Sport</x:v>
      </x:c>
      <x:c r="F13" s="37" t="str">
        <x:v>Sport</x:v>
      </x:c>
      <x:c r="G13" s="37" t="str">
        <x:v>Lightnin’ Rod</x:v>
      </x:c>
      <x:c r="H13" s="37" t="str">
        <x:v>1973</x:v>
      </x:c>
      <x:c r="I13" s="37" t="n">
        <x:v>0</x:v>
      </x:c>
      <x:c r="J13" s="37" t="str">
        <x:v>https://musicbrainz.org/recording/8a2873ce-3741-412f-b625-b8c6e3680253</x:v>
      </x:c>
      <x:c r="K13" s="37" t="str">
        <x:v>https://musicbrainz.org/ws/2/recording/?query=recording%3A%22Sport%22+AND+artist%3A%22Lightnin%27+Rod%22&amp;fmt=json&amp;limit=8</x:v>
      </x:c>
      <x:c r="L13" s="37" t="str">
        <x:v>Candidate discovery only; does not verify the intended version</x:v>
      </x:c>
    </x:row>
    <x:row r="14">
      <x:c r="A14" s="36" t="n">
        <x:v>13</x:v>
      </x:c>
      <x:c r="B14" s="36" t="str">
        <x:v>no_candidate</x:v>
      </x:c>
      <x:c r="C14" s="36" t="n">
        <x:v>1978</x:v>
      </x:c>
      <x:c r="D14" s="37" t="str">
        <x:v>Grandmaster Flash and the Furious Four MCs</x:v>
      </x:c>
      <x:c r="E14" s="37" t="str">
        <x:v>Live at the Audubon Ballroom — December 23 1978</x:v>
      </x:c>
      <x:c r="F14" s="37" t="str"/>
      <x:c r="G14" s="37" t="str"/>
      <x:c r="H14" s="37" t="str"/>
      <x:c r="I14" s="37"/>
      <x:c r="J14" s="37" t="str"/>
      <x:c r="K14" s="37" t="str">
        <x:v>https://musicbrainz.org/ws/2/recording/?query=recording%3A%22Live+at+the+Audubon+Ballroom+%E2%80%94+December+23+1978%22+AND+artist%3A%22Grandmaster+Flash+and+the+Furious+Four+MCs%22&amp;fmt=json&amp;limit=8</x:v>
      </x:c>
      <x:c r="L14" s="37" t="str">
        <x:v>Candidate discovery only; does not verify the intended version</x:v>
      </x:c>
    </x:row>
    <x:row r="15">
      <x:c r="A15" s="36" t="n">
        <x:v>14</x:v>
      </x:c>
      <x:c r="B15" s="36" t="str">
        <x:v>no_candidate</x:v>
      </x:c>
      <x:c r="C15" s="36" t="n">
        <x:v>1978</x:v>
      </x:c>
      <x:c r="D15" s="37" t="str">
        <x:v>Furious Four</x:v>
      </x:c>
      <x:c r="E15" s="37" t="str">
        <x:v>Live at Mitchell Gym</x:v>
      </x:c>
      <x:c r="F15" s="37" t="str"/>
      <x:c r="G15" s="37" t="str"/>
      <x:c r="H15" s="37" t="str"/>
      <x:c r="I15" s="37"/>
      <x:c r="J15" s="37" t="str"/>
      <x:c r="K15" s="37" t="str">
        <x:v>https://musicbrainz.org/ws/2/recording/?query=recording%3A%22Live+at+Mitchell+Gym%22+AND+artist%3A%22Furious+Four%22&amp;fmt=json&amp;limit=8</x:v>
      </x:c>
      <x:c r="L15" s="37" t="str">
        <x:v>Candidate discovery only; does not verify the intended version</x:v>
      </x:c>
    </x:row>
    <x:row r="16">
      <x:c r="A16" s="36" t="n">
        <x:v>15</x:v>
      </x:c>
      <x:c r="B16" s="36" t="str">
        <x:v>no_candidate</x:v>
      </x:c>
      <x:c r="C16" s="36" t="n">
        <x:v>1978</x:v>
      </x:c>
      <x:c r="D16" s="37" t="str">
        <x:v>Funky Four</x:v>
      </x:c>
      <x:c r="E16" s="37" t="str">
        <x:v>Live at unknown location</x:v>
      </x:c>
      <x:c r="F16" s="37" t="str"/>
      <x:c r="G16" s="37" t="str"/>
      <x:c r="H16" s="37" t="str"/>
      <x:c r="I16" s="37"/>
      <x:c r="J16" s="37" t="str"/>
      <x:c r="K16" s="37" t="str">
        <x:v>https://musicbrainz.org/ws/2/recording/?query=recording%3A%22Live+at+unknown+location%22+AND+artist%3A%22Funky+Four%22&amp;fmt=json&amp;limit=8</x:v>
      </x:c>
      <x:c r="L16" s="37" t="str">
        <x:v>Candidate discovery only; does not verify the intended version</x:v>
      </x:c>
    </x:row>
    <x:row r="17">
      <x:c r="A17" s="36" t="n">
        <x:v>16</x:v>
      </x:c>
      <x:c r="B17" s="36" t="str">
        <x:v>no_candidate</x:v>
      </x:c>
      <x:c r="C17" s="36" t="n">
        <x:v>1978</x:v>
      </x:c>
      <x:c r="D17" s="37" t="str">
        <x:v>Afrika Bambaataa and associated crews</x:v>
      </x:c>
      <x:c r="E17" s="37" t="str">
        <x:v>Birthday Party for DJ Kool Herc at 1590 Jerome Avenue</x:v>
      </x:c>
      <x:c r="F17" s="37" t="str"/>
      <x:c r="G17" s="37" t="str"/>
      <x:c r="H17" s="37" t="str"/>
      <x:c r="I17" s="37"/>
      <x:c r="J17" s="37" t="str"/>
      <x:c r="K17" s="37" t="str">
        <x:v>https://musicbrainz.org/ws/2/recording/?query=recording%3A%22Birthday+Party+for+DJ+Kool+Herc+at+1590+Jerome+Avenue%22+AND+artist%3A%22Afrika+Bambaataa%22&amp;fmt=json&amp;limit=8</x:v>
      </x:c>
      <x:c r="L17" s="37" t="str">
        <x:v>Candidate discovery only; does not verify the intended version</x:v>
      </x:c>
    </x:row>
    <x:row r="18">
      <x:c r="A18" s="36" t="n">
        <x:v>17</x:v>
      </x:c>
      <x:c r="B18" s="36" t="str">
        <x:v>no_candidate</x:v>
      </x:c>
      <x:c r="C18" s="36" t="n">
        <x:v>1979</x:v>
      </x:c>
      <x:c r="D18" s="37" t="str">
        <x:v>Grandmaster Flowers</x:v>
      </x:c>
      <x:c r="E18" s="37" t="str">
        <x:v>Live at St. Marks Park Brooklyn</x:v>
      </x:c>
      <x:c r="F18" s="37" t="str"/>
      <x:c r="G18" s="37" t="str"/>
      <x:c r="H18" s="37" t="str"/>
      <x:c r="I18" s="37"/>
      <x:c r="J18" s="37" t="str"/>
      <x:c r="K18" s="37" t="str">
        <x:v>https://musicbrainz.org/ws/2/recording/?query=recording%3A%22Live+at+St.+Marks+Park+Brooklyn%22+AND+artist%3A%22Grandmaster+Flowers%22&amp;fmt=json&amp;limit=8</x:v>
      </x:c>
      <x:c r="L18" s="37" t="str">
        <x:v>Candidate discovery only; does not verify the intended version</x:v>
      </x:c>
    </x:row>
    <x:row r="19">
      <x:c r="A19" s="36" t="n">
        <x:v>18</x:v>
      </x:c>
      <x:c r="B19" s="36" t="str">
        <x:v>no_candidate</x:v>
      </x:c>
      <x:c r="C19" s="36" t="n">
        <x:v>1979</x:v>
      </x:c>
      <x:c r="D19" s="37" t="str">
        <x:v>Cold Crush Four and Disco Enforcers</x:v>
      </x:c>
      <x:c r="E19" s="37" t="str">
        <x:v>Live at T-Connection</x:v>
      </x:c>
      <x:c r="F19" s="37" t="str"/>
      <x:c r="G19" s="37" t="str"/>
      <x:c r="H19" s="37" t="str"/>
      <x:c r="I19" s="37"/>
      <x:c r="J19" s="37" t="str"/>
      <x:c r="K19" s="37" t="str">
        <x:v>https://musicbrainz.org/ws/2/recording/?query=recording%3A%22Live+at+T-Connection%22+AND+artist%3A%22Cold+Crush+Four+and+Disco+Enforcers%22&amp;fmt=json&amp;limit=8</x:v>
      </x:c>
      <x:c r="L19" s="37" t="str">
        <x:v>Candidate discovery only; does not verify the intended version</x:v>
      </x:c>
    </x:row>
    <x:row r="20">
      <x:c r="A20" s="36" t="n">
        <x:v>19</x:v>
      </x:c>
      <x:c r="B20" s="36" t="str">
        <x:v>no_candidate</x:v>
      </x:c>
      <x:c r="C20" s="36" t="n">
        <x:v>1979</x:v>
      </x:c>
      <x:c r="D20" s="37" t="str">
        <x:v>DJ Hollywood</x:v>
      </x:c>
      <x:c r="E20" s="37" t="str">
        <x:v>Live club routine</x:v>
      </x:c>
      <x:c r="F20" s="37" t="str"/>
      <x:c r="G20" s="37" t="str"/>
      <x:c r="H20" s="37" t="str"/>
      <x:c r="I20" s="37"/>
      <x:c r="J20" s="37" t="str"/>
      <x:c r="K20" s="37" t="str">
        <x:v>https://musicbrainz.org/ws/2/recording/?query=recording%3A%22Live+club+routine%22+AND+artist%3A%22DJ+Hollywood%22&amp;fmt=json&amp;limit=8</x:v>
      </x:c>
      <x:c r="L20" s="37" t="str">
        <x:v>Candidate discovery only; does not verify the intended version</x:v>
      </x:c>
    </x:row>
    <x:row r="21">
      <x:c r="A21" s="36" t="n">
        <x:v>20</x:v>
      </x:c>
      <x:c r="B21" s="36" t="str">
        <x:v>no_candidate</x:v>
      </x:c>
      <x:c r="C21" s="36" t="n">
        <x:v>1979</x:v>
      </x:c>
      <x:c r="D21" s="37" t="str">
        <x:v>Disco Twins and Infinity Machine</x:v>
      </x:c>
      <x:c r="E21" s="37" t="str">
        <x:v>Live party recording</x:v>
      </x:c>
      <x:c r="F21" s="37" t="str"/>
      <x:c r="G21" s="37" t="str"/>
      <x:c r="H21" s="37" t="str"/>
      <x:c r="I21" s="37"/>
      <x:c r="J21" s="37" t="str"/>
      <x:c r="K21" s="37" t="str">
        <x:v>https://musicbrainz.org/ws/2/recording/?query=recording%3A%22Live+party+recording%22+AND+artist%3A%22Disco+Twins+and+Infinity+Machine%22&amp;fmt=json&amp;limit=8</x:v>
      </x:c>
      <x:c r="L21" s="37" t="str">
        <x:v>Candidate discovery only; does not verify the intended version</x:v>
      </x:c>
    </x:row>
    <x:row r="22">
      <x:c r="A22" s="36" t="n">
        <x:v>21</x:v>
      </x:c>
      <x:c r="B22" s="36" t="str">
        <x:v>candidate_found</x:v>
      </x:c>
      <x:c r="C22" s="36" t="n">
        <x:v>1979</x:v>
      </x:c>
      <x:c r="D22" s="37" t="str">
        <x:v>The Sugarhill Gang</x:v>
      </x:c>
      <x:c r="E22" s="37" t="str">
        <x:v>Rapper's Delight</x:v>
      </x:c>
      <x:c r="F22" s="37" t="str">
        <x:v>Rapper’s Delight</x:v>
      </x:c>
      <x:c r="G22" s="37" t="str">
        <x:v>The Sugarhill Gang</x:v>
      </x:c>
      <x:c r="H22" s="37" t="str">
        <x:v>1979</x:v>
      </x:c>
      <x:c r="I22" s="37" t="n">
        <x:v>0</x:v>
      </x:c>
      <x:c r="J22" s="37" t="str">
        <x:v>https://musicbrainz.org/recording/c64c4530-098a-4bfb-9f13-567cc51a5173</x:v>
      </x:c>
      <x:c r="K22" s="37" t="str">
        <x:v>https://musicbrainz.org/ws/2/recording/?query=recording%3A%22Rapper%27s+Delight%22+AND+artist%3A%22The+Sugarhill+Gang%22&amp;fmt=json&amp;limit=8</x:v>
      </x:c>
      <x:c r="L22" s="37" t="str">
        <x:v>Candidate discovery only; does not verify the intended version</x:v>
      </x:c>
    </x:row>
    <x:row r="23">
      <x:c r="A23" s="36" t="n">
        <x:v>22</x:v>
      </x:c>
      <x:c r="B23" s="36" t="str">
        <x:v>no_candidate</x:v>
      </x:c>
      <x:c r="C23" s="36" t="n">
        <x:v>1979</x:v>
      </x:c>
      <x:c r="D23" s="37" t="str">
        <x:v>The Fatback Band featuring King Tim III</x:v>
      </x:c>
      <x:c r="E23" s="37" t="str">
        <x:v>King Tim III (Personality Jock)</x:v>
      </x:c>
      <x:c r="F23" s="37" t="str"/>
      <x:c r="G23" s="37" t="str"/>
      <x:c r="H23" s="37" t="str"/>
      <x:c r="I23" s="37"/>
      <x:c r="J23" s="37" t="str"/>
      <x:c r="K23" s="37" t="str">
        <x:v>https://musicbrainz.org/ws/2/recording/?query=recording%3A%22King+Tim+III+%28Personality+Jock%29%22+AND+artist%3A%22The+Fatback+Band%22&amp;fmt=json&amp;limit=8</x:v>
      </x:c>
      <x:c r="L23" s="37" t="str">
        <x:v>Candidate discovery only; does not verify the intended version</x:v>
      </x:c>
    </x:row>
    <x:row r="24">
      <x:c r="A24" s="36" t="n">
        <x:v>23</x:v>
      </x:c>
      <x:c r="B24" s="36" t="str">
        <x:v>candidate_found</x:v>
      </x:c>
      <x:c r="C24" s="36" t="n">
        <x:v>1979</x:v>
      </x:c>
      <x:c r="D24" s="37" t="str">
        <x:v>The Sequence</x:v>
      </x:c>
      <x:c r="E24" s="37" t="str">
        <x:v>Funk You Up</x:v>
      </x:c>
      <x:c r="F24" s="37" t="str">
        <x:v>Funk You Up</x:v>
      </x:c>
      <x:c r="G24" s="37" t="str">
        <x:v>The Sequence</x:v>
      </x:c>
      <x:c r="H24" s="37" t="str">
        <x:v>1979</x:v>
      </x:c>
      <x:c r="I24" s="37" t="n">
        <x:v>0</x:v>
      </x:c>
      <x:c r="J24" s="37" t="str">
        <x:v>https://musicbrainz.org/recording/59f2c895-bcd3-4da1-b409-a19a0f228542</x:v>
      </x:c>
      <x:c r="K24" s="37" t="str">
        <x:v>https://musicbrainz.org/ws/2/recording/?query=recording%3A%22Funk+You+Up%22+AND+artist%3A%22The+Sequence%22&amp;fmt=json&amp;limit=8</x:v>
      </x:c>
      <x:c r="L24" s="37" t="str">
        <x:v>Candidate discovery only; does not verify the intended version</x:v>
      </x:c>
    </x:row>
    <x:row r="25">
      <x:c r="A25" s="36" t="n">
        <x:v>24</x:v>
      </x:c>
      <x:c r="B25" s="36" t="str">
        <x:v>candidate_found</x:v>
      </x:c>
      <x:c r="C25" s="36" t="n">
        <x:v>1979</x:v>
      </x:c>
      <x:c r="D25" s="37" t="str">
        <x:v>Lady B</x:v>
      </x:c>
      <x:c r="E25" s="37" t="str">
        <x:v>To the Beat Y'all</x:v>
      </x:c>
      <x:c r="F25" s="37" t="str">
        <x:v>To the Beat Y'all</x:v>
      </x:c>
      <x:c r="G25" s="37" t="str">
        <x:v>Lady B</x:v>
      </x:c>
      <x:c r="H25" s="37" t="str">
        <x:v>1979</x:v>
      </x:c>
      <x:c r="I25" s="37" t="n">
        <x:v>0</x:v>
      </x:c>
      <x:c r="J25" s="37" t="str">
        <x:v>https://musicbrainz.org/recording/860430a9-0bdd-4d5d-82d3-99ef8c19ed7f</x:v>
      </x:c>
      <x:c r="K25" s="37" t="str">
        <x:v>https://musicbrainz.org/ws/2/recording/?query=recording%3A%22To+the+Beat+Y%27all%22+AND+artist%3A%22Lady+B%22&amp;fmt=json&amp;limit=8</x:v>
      </x:c>
      <x:c r="L25" s="37" t="str">
        <x:v>Candidate discovery only; does not verify the intended version</x:v>
      </x:c>
    </x:row>
    <x:row r="26">
      <x:c r="A26" s="36" t="n">
        <x:v>25</x:v>
      </x:c>
      <x:c r="B26" s="36" t="str">
        <x:v>candidate_found</x:v>
      </x:c>
      <x:c r="C26" s="36" t="n">
        <x:v>1979</x:v>
      </x:c>
      <x:c r="D26" s="37" t="str">
        <x:v>Spoonie Gee</x:v>
      </x:c>
      <x:c r="E26" s="37" t="str">
        <x:v>Spoonin Rap</x:v>
      </x:c>
      <x:c r="F26" s="37" t="str">
        <x:v>Spoonin' Rap</x:v>
      </x:c>
      <x:c r="G26" s="37" t="str">
        <x:v>Spoonie Gee</x:v>
      </x:c>
      <x:c r="H26" s="37" t="str">
        <x:v>1996</x:v>
      </x:c>
      <x:c r="I26" s="37" t="n">
        <x:v>17</x:v>
      </x:c>
      <x:c r="J26" s="37" t="str">
        <x:v>https://musicbrainz.org/recording/f2a65aa3-83fd-4ea9-a674-d0780999da86</x:v>
      </x:c>
      <x:c r="K26" s="37" t="str">
        <x:v>https://musicbrainz.org/ws/2/recording/?query=recording%3A%22Spoonin+Rap%22+AND+artist%3A%22Spoonie+Gee%22&amp;fmt=json&amp;limit=8</x:v>
      </x:c>
      <x:c r="L26" s="37" t="str">
        <x:v>Candidate discovery only; does not verify the intended version</x:v>
      </x:c>
    </x:row>
    <x:row r="27">
      <x:c r="A27" s="36" t="n">
        <x:v>26</x:v>
      </x:c>
      <x:c r="B27" s="36" t="str">
        <x:v>candidate_found</x:v>
      </x:c>
      <x:c r="C27" s="36" t="n">
        <x:v>1980</x:v>
      </x:c>
      <x:c r="D27" s="37" t="str">
        <x:v>Kurtis Blow</x:v>
      </x:c>
      <x:c r="E27" s="37" t="str">
        <x:v>The Breaks</x:v>
      </x:c>
      <x:c r="F27" s="37" t="str">
        <x:v>The Breaks</x:v>
      </x:c>
      <x:c r="G27" s="37" t="str">
        <x:v>Kurtis Blow</x:v>
      </x:c>
      <x:c r="H27" s="37" t="str">
        <x:v>2000-12-01</x:v>
      </x:c>
      <x:c r="I27" s="37" t="n">
        <x:v>20</x:v>
      </x:c>
      <x:c r="J27" s="37" t="str">
        <x:v>https://musicbrainz.org/recording/d6099004-aefc-43a4-b567-5d628604b650</x:v>
      </x:c>
      <x:c r="K27" s="37" t="str">
        <x:v>https://musicbrainz.org/ws/2/recording/?query=recording%3A%22The+Breaks%22+AND+artist%3A%22Kurtis+Blow%22&amp;fmt=json&amp;limit=8</x:v>
      </x:c>
      <x:c r="L27" s="37" t="str">
        <x:v>Candidate discovery only; does not verify the intended version</x:v>
      </x:c>
    </x:row>
    <x:row r="28">
      <x:c r="A28" s="36" t="n">
        <x:v>27</x:v>
      </x:c>
      <x:c r="B28" s="36" t="str">
        <x:v>candidate_found</x:v>
      </x:c>
      <x:c r="C28" s="36" t="n">
        <x:v>1980</x:v>
      </x:c>
      <x:c r="D28" s="37" t="str">
        <x:v>Brother D with Collective Effort</x:v>
      </x:c>
      <x:c r="E28" s="37" t="str">
        <x:v>How We Gonna Make the Black Nation Rise?</x:v>
      </x:c>
      <x:c r="F28" s="37" t="str">
        <x:v>How We Gonna Make the Black Nation Rise?</x:v>
      </x:c>
      <x:c r="G28" s="37" t="str">
        <x:v>Brother “D”Collective Effort</x:v>
      </x:c>
      <x:c r="H28" s="37" t="str">
        <x:v>1980</x:v>
      </x:c>
      <x:c r="I28" s="37" t="n">
        <x:v>0</x:v>
      </x:c>
      <x:c r="J28" s="37" t="str">
        <x:v>https://musicbrainz.org/recording/f011a4d8-6562-4f70-ad24-3f45df1f2404</x:v>
      </x:c>
      <x:c r="K28" s="37" t="str">
        <x:v>https://musicbrainz.org/ws/2/recording/?query=recording%3A%22How+We+Gonna+Make+the+Black+Nation+Rise%3F%22+AND+artist%3A%22Brother+D%22&amp;fmt=json&amp;limit=8</x:v>
      </x:c>
      <x:c r="L28" s="37" t="str">
        <x:v>Candidate discovery only; does not verify the intended version</x:v>
      </x:c>
    </x:row>
    <x:row r="29">
      <x:c r="A29" s="36" t="n">
        <x:v>28</x:v>
      </x:c>
      <x:c r="B29" s="36" t="str">
        <x:v>candidate_found</x:v>
      </x:c>
      <x:c r="C29" s="36" t="n">
        <x:v>1980</x:v>
      </x:c>
      <x:c r="D29" s="37" t="str">
        <x:v>The Treacherous Three</x:v>
      </x:c>
      <x:c r="E29" s="37" t="str">
        <x:v>The New Rap Language</x:v>
      </x:c>
      <x:c r="F29" s="37" t="str">
        <x:v>The New Rap Language</x:v>
      </x:c>
      <x:c r="G29" s="37" t="str">
        <x:v>Spoonie GeeThe Treacherous Three</x:v>
      </x:c>
      <x:c r="H29" s="37" t="str">
        <x:v>2004-12-22</x:v>
      </x:c>
      <x:c r="I29" s="37" t="n">
        <x:v>24</x:v>
      </x:c>
      <x:c r="J29" s="37" t="str">
        <x:v>https://musicbrainz.org/recording/5ccd4433-c0fe-483f-bbd6-e144dfcf3e75</x:v>
      </x:c>
      <x:c r="K29" s="37" t="str">
        <x:v>https://musicbrainz.org/ws/2/recording/?query=recording%3A%22The+New+Rap+Language%22+AND+artist%3A%22The+Treacherous+Three%22&amp;fmt=json&amp;limit=8</x:v>
      </x:c>
      <x:c r="L29" s="37" t="str">
        <x:v>Candidate discovery only; does not verify the intended version</x:v>
      </x:c>
    </x:row>
    <x:row r="30">
      <x:c r="A30" s="36" t="n">
        <x:v>29</x:v>
      </x:c>
      <x:c r="B30" s="36" t="str">
        <x:v>candidate_found</x:v>
      </x:c>
      <x:c r="C30" s="36" t="n">
        <x:v>1980</x:v>
      </x:c>
      <x:c r="D30" s="37" t="str">
        <x:v>Funky Four Plus One</x:v>
      </x:c>
      <x:c r="E30" s="37" t="str">
        <x:v>That's the Joint</x:v>
      </x:c>
      <x:c r="F30" s="37" t="str">
        <x:v>That’s the Joint</x:v>
      </x:c>
      <x:c r="G30" s="37" t="str">
        <x:v>Funky Four Plus One</x:v>
      </x:c>
      <x:c r="H30" s="37" t="str">
        <x:v>2009</x:v>
      </x:c>
      <x:c r="I30" s="37" t="n">
        <x:v>29</x:v>
      </x:c>
      <x:c r="J30" s="37" t="str">
        <x:v>https://musicbrainz.org/recording/46dc7fbe-ef1f-4253-a1c6-092b8c9c3613</x:v>
      </x:c>
      <x:c r="K30" s="37" t="str">
        <x:v>https://musicbrainz.org/ws/2/recording/?query=recording%3A%22That%27s+the+Joint%22+AND+artist%3A%22Funky+Four+Plus+One%22&amp;fmt=json&amp;limit=8</x:v>
      </x:c>
      <x:c r="L30" s="37" t="str">
        <x:v>Candidate discovery only; does not verify the intended version</x:v>
      </x:c>
    </x:row>
    <x:row r="31">
      <x:c r="A31" s="36" t="n">
        <x:v>30</x:v>
      </x:c>
      <x:c r="B31" s="36" t="str">
        <x:v>candidate_found</x:v>
      </x:c>
      <x:c r="C31" s="36" t="n">
        <x:v>1981</x:v>
      </x:c>
      <x:c r="D31" s="37" t="str">
        <x:v>Grandmaster Flash</x:v>
      </x:c>
      <x:c r="E31" s="37" t="str">
        <x:v>The Adventures of Grandmaster Flash on the Wheels of Steel</x:v>
      </x:c>
      <x:c r="F31" s="37" t="str">
        <x:v>The Adventures of Grandmaster Flash on the Wheels of Steel</x:v>
      </x:c>
      <x:c r="G31" s="37" t="str">
        <x:v>Grandmaster Flash</x:v>
      </x:c>
      <x:c r="H31" s="37" t="str">
        <x:v>1981</x:v>
      </x:c>
      <x:c r="I31" s="37" t="n">
        <x:v>0</x:v>
      </x:c>
      <x:c r="J31" s="37" t="str">
        <x:v>https://musicbrainz.org/recording/c63caf69-8117-4f44-9c75-0053a39308bf</x:v>
      </x:c>
      <x:c r="K31" s="37" t="str">
        <x:v>https://musicbrainz.org/ws/2/recording/?query=recording%3A%22The+Adventures+of+Grandmaster+Flash+on+the+Wheels+of+Steel%22+AND+artist%3A%22Grandmaster+Flash%22&amp;fmt=json&amp;limit=8</x:v>
      </x:c>
      <x:c r="L31" s="37" t="str">
        <x:v>Candidate discovery only; does not verify the intended version</x:v>
      </x:c>
    </x:row>
    <x:row r="32">
      <x:c r="A32" s="36" t="n">
        <x:v>31</x:v>
      </x:c>
      <x:c r="B32" s="36" t="str">
        <x:v>candidate_found</x:v>
      </x:c>
      <x:c r="C32" s="36" t="n">
        <x:v>1981</x:v>
      </x:c>
      <x:c r="D32" s="37" t="str">
        <x:v>Mean Machine</x:v>
      </x:c>
      <x:c r="E32" s="37" t="str">
        <x:v>Disco Dream</x:v>
      </x:c>
      <x:c r="F32" s="37" t="str">
        <x:v>Disco Dream</x:v>
      </x:c>
      <x:c r="G32" s="37" t="str">
        <x:v>The Mean Machine</x:v>
      </x:c>
      <x:c r="H32" s="37" t="str">
        <x:v>1981</x:v>
      </x:c>
      <x:c r="I32" s="37" t="n">
        <x:v>0</x:v>
      </x:c>
      <x:c r="J32" s="37" t="str">
        <x:v>https://musicbrainz.org/recording/fe7ad7fa-1911-4ad7-96b3-e7699cfed40c</x:v>
      </x:c>
      <x:c r="K32" s="37" t="str">
        <x:v>https://musicbrainz.org/ws/2/recording/?query=recording%3A%22Disco+Dream%22+AND+artist%3A%22Mean+Machine%22&amp;fmt=json&amp;limit=8</x:v>
      </x:c>
      <x:c r="L32" s="37" t="str">
        <x:v>Candidate discovery only; does not verify the intended version</x:v>
      </x:c>
    </x:row>
    <x:row r="33">
      <x:c r="A33" s="36" t="n">
        <x:v>32</x:v>
      </x:c>
      <x:c r="B33" s="36" t="str">
        <x:v>candidate_found</x:v>
      </x:c>
      <x:c r="C33" s="36" t="n">
        <x:v>1982</x:v>
      </x:c>
      <x:c r="D33" s="37" t="str">
        <x:v>Grandmaster Flash and the Furious Five</x:v>
      </x:c>
      <x:c r="E33" s="37" t="str">
        <x:v>The Message</x:v>
      </x:c>
      <x:c r="F33" s="37" t="str">
        <x:v>The Message</x:v>
      </x:c>
      <x:c r="G33" s="37" t="str">
        <x:v>Grandmaster Flash &amp; The Furious Five</x:v>
      </x:c>
      <x:c r="H33" s="37" t="str">
        <x:v>1983</x:v>
      </x:c>
      <x:c r="I33" s="37" t="n">
        <x:v>1</x:v>
      </x:c>
      <x:c r="J33" s="37" t="str">
        <x:v>https://musicbrainz.org/recording/85672810-5771-486b-a508-c77f2ab79670</x:v>
      </x:c>
      <x:c r="K33" s="37" t="str">
        <x:v>https://musicbrainz.org/ws/2/recording/?query=recording%3A%22The+Message%22+AND+artist%3A%22Grandmaster+Flash+and+the+Furious+Five%22&amp;fmt=json&amp;limit=8</x:v>
      </x:c>
      <x:c r="L33" s="37" t="str">
        <x:v>Candidate discovery only; does not verify the intended version</x:v>
      </x:c>
    </x:row>
    <x:row r="34">
      <x:c r="A34" s="36" t="n">
        <x:v>33</x:v>
      </x:c>
      <x:c r="B34" s="36" t="str">
        <x:v>candidate_found</x:v>
      </x:c>
      <x:c r="C34" s="36" t="n">
        <x:v>1982</x:v>
      </x:c>
      <x:c r="D34" s="37" t="str">
        <x:v>Afrika Bambaataa and the Soulsonic Force</x:v>
      </x:c>
      <x:c r="E34" s="37" t="str">
        <x:v>Planet Rock</x:v>
      </x:c>
      <x:c r="F34" s="37" t="str">
        <x:v>Planet Rock</x:v>
      </x:c>
      <x:c r="G34" s="37" t="str">
        <x:v>Afrika Bambaataa &amp; The Soulsonic Force</x:v>
      </x:c>
      <x:c r="H34" s="37" t="str">
        <x:v>2015-11-20</x:v>
      </x:c>
      <x:c r="I34" s="37" t="n">
        <x:v>33</x:v>
      </x:c>
      <x:c r="J34" s="37" t="str">
        <x:v>https://musicbrainz.org/recording/b589b2f1-d6f0-4e13-acbe-e90bc8e36b64</x:v>
      </x:c>
      <x:c r="K34" s="37" t="str">
        <x:v>https://musicbrainz.org/ws/2/recording/?query=recording%3A%22Planet+Rock%22+AND+artist%3A%22Afrika+Bambaataa+and+the+Soulsonic+Force%22&amp;fmt=json&amp;limit=8</x:v>
      </x:c>
      <x:c r="L34" s="37" t="str">
        <x:v>Candidate discovery only; does not verify the intended version</x:v>
      </x:c>
    </x:row>
    <x:row r="35">
      <x:c r="A35" s="36" t="n">
        <x:v>34</x:v>
      </x:c>
      <x:c r="B35" s="36" t="str">
        <x:v>candidate_found</x:v>
      </x:c>
      <x:c r="C35" s="36" t="n">
        <x:v>1981</x:v>
      </x:c>
      <x:c r="D35" s="37" t="str">
        <x:v>Chagrin d'amour</x:v>
      </x:c>
      <x:c r="E35" s="37" t="str">
        <x:v>Chacun fait (c'qui lui plaît)</x:v>
      </x:c>
      <x:c r="F35" s="37" t="str">
        <x:v>Chacun fait (c'qui lui plaît)</x:v>
      </x:c>
      <x:c r="G35" s="37" t="str">
        <x:v>Chagrin d’amour</x:v>
      </x:c>
      <x:c r="H35" s="37" t="str">
        <x:v>1996</x:v>
      </x:c>
      <x:c r="I35" s="37" t="n">
        <x:v>15</x:v>
      </x:c>
      <x:c r="J35" s="37" t="str">
        <x:v>https://musicbrainz.org/recording/7a95b8bb-1bc3-4715-9209-e27e7f11f72b</x:v>
      </x:c>
      <x:c r="K35" s="37" t="str">
        <x:v>https://musicbrainz.org/ws/2/recording/?query=recording%3A%22Chacun+fait+%28c%27qui+lui+pla%C3%AEt%29%22+AND+artist%3A%22Chagrin+d%27amour%22&amp;fmt=json&amp;limit=8</x:v>
      </x:c>
      <x:c r="L35" s="37" t="str">
        <x:v>Candidate discovery only; does not verify the intended version</x:v>
      </x:c>
    </x:row>
    <x:row r="36">
      <x:c r="A36" s="36" t="n">
        <x:v>35</x:v>
      </x:c>
      <x:c r="B36" s="36" t="str">
        <x:v>candidate_found</x:v>
      </x:c>
      <x:c r="C36" s="36" t="n">
        <x:v>1981</x:v>
      </x:c>
      <x:c r="D36" s="37" t="str">
        <x:v>Yellow Magic Orchestra</x:v>
      </x:c>
      <x:c r="E36" s="37" t="str">
        <x:v>Rap Phenomena</x:v>
      </x:c>
      <x:c r="F36" s="37" t="str">
        <x:v>Rap Phenomena</x:v>
      </x:c>
      <x:c r="G36" s="37" t="str">
        <x:v>Yellow Magic Orchestra</x:v>
      </x:c>
      <x:c r="H36" s="37" t="str">
        <x:v>1981-03-21</x:v>
      </x:c>
      <x:c r="I36" s="37" t="n">
        <x:v>0</x:v>
      </x:c>
      <x:c r="J36" s="37" t="str">
        <x:v>https://musicbrainz.org/recording/2fdac1e7-b58f-4855-b549-325e9dc21ec0</x:v>
      </x:c>
      <x:c r="K36" s="37" t="str">
        <x:v>https://musicbrainz.org/ws/2/recording/?query=recording%3A%22Rap+Phenomena%22+AND+artist%3A%22Yellow+Magic+Orchestra%22&amp;fmt=json&amp;limit=8</x:v>
      </x:c>
      <x:c r="L36" s="37" t="str">
        <x:v>Candidate discovery only; does not verify the intended version</x:v>
      </x:c>
    </x:row>
    <x:row r="37">
      <x:c r="A37" s="36" t="n">
        <x:v>36</x:v>
      </x:c>
      <x:c r="B37" s="36" t="str">
        <x:v>candidate_found</x:v>
      </x:c>
      <x:c r="C37" s="36" t="n">
        <x:v>1983</x:v>
      </x:c>
      <x:c r="D37" s="37" t="str">
        <x:v>Run-D.M.C.</x:v>
      </x:c>
      <x:c r="E37" s="37" t="str">
        <x:v>It's Like That</x:v>
      </x:c>
      <x:c r="F37" s="37" t="str">
        <x:v>It’s Like That</x:v>
      </x:c>
      <x:c r="G37" s="37" t="str">
        <x:v>Run‐D.M.C.</x:v>
      </x:c>
      <x:c r="H37" s="37" t="str">
        <x:v>2017-06-02</x:v>
      </x:c>
      <x:c r="I37" s="37" t="n">
        <x:v>34</x:v>
      </x:c>
      <x:c r="J37" s="37" t="str">
        <x:v>https://musicbrainz.org/recording/a56501ad-9a35-4536-a01a-47d2d505a6b4</x:v>
      </x:c>
      <x:c r="K37" s="37" t="str">
        <x:v>https://musicbrainz.org/ws/2/recording/?query=recording%3A%22It%27s+Like+That%22+AND+artist%3A%22Run-D.M.C.%22&amp;fmt=json&amp;limit=8</x:v>
      </x:c>
      <x:c r="L37" s="37" t="str">
        <x:v>Candidate discovery only; does not verify the intended version</x:v>
      </x:c>
    </x:row>
    <x:row r="38">
      <x:c r="A38" s="36" t="n">
        <x:v>37</x:v>
      </x:c>
      <x:c r="B38" s="36" t="str">
        <x:v>candidate_found</x:v>
      </x:c>
      <x:c r="C38" s="36" t="n">
        <x:v>1984</x:v>
      </x:c>
      <x:c r="D38" s="37" t="str">
        <x:v>Roxanne Shanté</x:v>
      </x:c>
      <x:c r="E38" s="37" t="str">
        <x:v>Roxanne's Revenge</x:v>
      </x:c>
      <x:c r="F38" s="37" t="str">
        <x:v>Roxanne's Revenge</x:v>
      </x:c>
      <x:c r="G38" s="37" t="str">
        <x:v>Roxanne Shanté</x:v>
      </x:c>
      <x:c r="H38" s="37" t="str">
        <x:v>1985</x:v>
      </x:c>
      <x:c r="I38" s="37" t="n">
        <x:v>1</x:v>
      </x:c>
      <x:c r="J38" s="37" t="str">
        <x:v>https://musicbrainz.org/recording/f4ac0ef0-7305-4d7a-8be4-7248568e6ec6</x:v>
      </x:c>
      <x:c r="K38" s="37" t="str">
        <x:v>https://musicbrainz.org/ws/2/recording/?query=recording%3A%22Roxanne%27s+Revenge%22+AND+artist%3A%22Roxanne+Shant%C3%A9%22&amp;fmt=json&amp;limit=8</x:v>
      </x:c>
      <x:c r="L38" s="37" t="str">
        <x:v>Candidate discovery only; does not verify the intended version</x:v>
      </x:c>
    </x:row>
    <x:row r="39">
      <x:c r="A39" s="36" t="n">
        <x:v>38</x:v>
      </x:c>
      <x:c r="B39" s="36" t="str">
        <x:v>candidate_found</x:v>
      </x:c>
      <x:c r="C39" s="36" t="n">
        <x:v>1983</x:v>
      </x:c>
      <x:c r="D39" s="37" t="str">
        <x:v>Newtrament</x:v>
      </x:c>
      <x:c r="E39" s="37" t="str">
        <x:v>London Bridge Is Falling Down</x:v>
      </x:c>
      <x:c r="F39" s="37" t="str">
        <x:v>London Bridge Is Falling Down</x:v>
      </x:c>
      <x:c r="G39" s="37" t="str">
        <x:v>Newtrament</x:v>
      </x:c>
      <x:c r="H39" s="37" t="str">
        <x:v>2002</x:v>
      </x:c>
      <x:c r="I39" s="37" t="n">
        <x:v>19</x:v>
      </x:c>
      <x:c r="J39" s="37" t="str">
        <x:v>https://musicbrainz.org/recording/adc4ce03-c8ff-46df-9bfc-4a4d41d0e993</x:v>
      </x:c>
      <x:c r="K39" s="37" t="str">
        <x:v>https://musicbrainz.org/ws/2/recording/?query=recording%3A%22London+Bridge+Is+Falling+Down%22+AND+artist%3A%22Newtrament%22&amp;fmt=json&amp;limit=8</x:v>
      </x:c>
      <x:c r="L39" s="37" t="str">
        <x:v>Candidate discovery only; does not verify the intended version</x:v>
      </x:c>
    </x:row>
    <x:row r="40">
      <x:c r="A40" s="36" t="n">
        <x:v>39</x:v>
      </x:c>
      <x:c r="B40" s="36" t="str">
        <x:v>candidate_found</x:v>
      </x:c>
      <x:c r="C40" s="36" t="n">
        <x:v>1983</x:v>
      </x:c>
      <x:c r="D40" s="37" t="str">
        <x:v>Run-D.M.C.</x:v>
      </x:c>
      <x:c r="E40" s="37" t="str">
        <x:v>Sucker M.C.'s (Krush-Groove 1)</x:v>
      </x:c>
      <x:c r="F40" s="37" t="str">
        <x:v>Sucker M.C.’s (Krush‐Groove 1)</x:v>
      </x:c>
      <x:c r="G40" s="37" t="str">
        <x:v>Run‐D.M.C.</x:v>
      </x:c>
      <x:c r="H40" s="37" t="str">
        <x:v>1983</x:v>
      </x:c>
      <x:c r="I40" s="37" t="n">
        <x:v>0</x:v>
      </x:c>
      <x:c r="J40" s="37" t="str">
        <x:v>https://musicbrainz.org/recording/bb51741e-16e1-43f2-a2a2-0aed1b2a039f</x:v>
      </x:c>
      <x:c r="K40" s="37" t="str">
        <x:v>https://musicbrainz.org/ws/2/recording/?query=recording%3A%22Sucker+M.C.%27s+%28Krush-Groove+1%29%22+AND+artist%3A%22Run-D.M.C.%22&amp;fmt=json&amp;limit=8</x:v>
      </x:c>
      <x:c r="L40" s="37" t="str">
        <x:v>Candidate discovery only; does not verify the intended version</x:v>
      </x:c>
    </x:row>
    <x:row r="41">
      <x:c r="A41" s="36" t="n">
        <x:v>40</x:v>
      </x:c>
      <x:c r="B41" s="36" t="str">
        <x:v>candidate_found</x:v>
      </x:c>
      <x:c r="C41" s="36" t="n">
        <x:v>1985</x:v>
      </x:c>
      <x:c r="D41" s="37" t="str">
        <x:v>LL Cool J</x:v>
      </x:c>
      <x:c r="E41" s="37" t="str">
        <x:v>I Can't Live Without My Radio</x:v>
      </x:c>
      <x:c r="F41" s="37" t="str">
        <x:v>I Can’t Live Without My Radio</x:v>
      </x:c>
      <x:c r="G41" s="37" t="str">
        <x:v>LL Cool J</x:v>
      </x:c>
      <x:c r="H41" s="37" t="str">
        <x:v>1985</x:v>
      </x:c>
      <x:c r="I41" s="37" t="n">
        <x:v>0</x:v>
      </x:c>
      <x:c r="J41" s="37" t="str">
        <x:v>https://musicbrainz.org/recording/339f7030-8ba5-4971-828c-6eb4b49a3e40</x:v>
      </x:c>
      <x:c r="K41" s="37" t="str">
        <x:v>https://musicbrainz.org/ws/2/recording/?query=recording%3A%22I+Can%27t+Live+Without+My+Radio%22+AND+artist%3A%22LL+Cool+J%22&amp;fmt=json&amp;limit=8</x:v>
      </x:c>
      <x:c r="L41" s="37" t="str">
        <x:v>Candidate discovery only; does not verify the intended version</x:v>
      </x:c>
    </x:row>
    <x:row r="42">
      <x:c r="A42" s="36" t="n">
        <x:v>41</x:v>
      </x:c>
      <x:c r="B42" s="36" t="str">
        <x:v>candidate_found</x:v>
      </x:c>
      <x:c r="C42" s="36" t="n">
        <x:v>1985</x:v>
      </x:c>
      <x:c r="D42" s="37" t="str">
        <x:v>Schoolly D</x:v>
      </x:c>
      <x:c r="E42" s="37" t="str">
        <x:v>P.S.K. What Does It Mean?</x:v>
      </x:c>
      <x:c r="F42" s="37" t="str">
        <x:v>P.S.K. What Does It Mean?</x:v>
      </x:c>
      <x:c r="G42" s="37" t="str">
        <x:v>Schoolly D</x:v>
      </x:c>
      <x:c r="H42" s="37" t="str">
        <x:v>1985</x:v>
      </x:c>
      <x:c r="I42" s="37" t="n">
        <x:v>0</x:v>
      </x:c>
      <x:c r="J42" s="37" t="str">
        <x:v>https://musicbrainz.org/recording/da868a05-85b6-4fad-b6e6-220f825b9d37</x:v>
      </x:c>
      <x:c r="K42" s="37" t="str">
        <x:v>https://musicbrainz.org/ws/2/recording/?query=recording%3A%22P.S.K.+What+Does+It+Mean%3F%22+AND+artist%3A%22Schoolly+D%22&amp;fmt=json&amp;limit=8</x:v>
      </x:c>
      <x:c r="L42" s="37" t="str">
        <x:v>Candidate discovery only; does not verify the intended version</x:v>
      </x:c>
    </x:row>
    <x:row r="43">
      <x:c r="A43" s="36" t="n">
        <x:v>42</x:v>
      </x:c>
      <x:c r="B43" s="36" t="str">
        <x:v>candidate_found</x:v>
      </x:c>
      <x:c r="C43" s="36" t="n">
        <x:v>1985</x:v>
      </x:c>
      <x:c r="D43" s="37" t="str">
        <x:v>Doug E. Fresh and the Get Fresh Crew</x:v>
      </x:c>
      <x:c r="E43" s="37" t="str">
        <x:v>The Show</x:v>
      </x:c>
      <x:c r="F43" s="37" t="str">
        <x:v>The Show</x:v>
      </x:c>
      <x:c r="G43" s="37" t="str">
        <x:v>Doug E. FreshThe Get Fresh Crew</x:v>
      </x:c>
      <x:c r="H43" s="37" t="str">
        <x:v>1985</x:v>
      </x:c>
      <x:c r="I43" s="37" t="n">
        <x:v>0</x:v>
      </x:c>
      <x:c r="J43" s="37" t="str">
        <x:v>https://musicbrainz.org/recording/850d5a2c-b5d9-4eaf-be2c-f7e7e482f279</x:v>
      </x:c>
      <x:c r="K43" s="37" t="str">
        <x:v>https://musicbrainz.org/ws/2/recording/?query=recording%3A%22The+Show%22+AND+artist%3A%22Doug+E.+Fresh+and+the+Get+Fresh+Crew%22&amp;fmt=json&amp;limit=8</x:v>
      </x:c>
      <x:c r="L43" s="37" t="str">
        <x:v>Candidate discovery only; does not verify the intended version</x:v>
      </x:c>
    </x:row>
    <x:row r="44">
      <x:c r="A44" s="36" t="n">
        <x:v>43</x:v>
      </x:c>
      <x:c r="B44" s="36" t="str">
        <x:v>candidate_found</x:v>
      </x:c>
      <x:c r="C44" s="36" t="n">
        <x:v>1986</x:v>
      </x:c>
      <x:c r="D44" s="37" t="str">
        <x:v>Eric B. &amp; Rakim</x:v>
      </x:c>
      <x:c r="E44" s="37" t="str">
        <x:v>Eric B. Is President</x:v>
      </x:c>
      <x:c r="F44" s="37" t="str">
        <x:v>Eric B. Is President</x:v>
      </x:c>
      <x:c r="G44" s="37" t="str">
        <x:v>Eric B. &amp; Rakim</x:v>
      </x:c>
      <x:c r="H44" s="37" t="str">
        <x:v>1986</x:v>
      </x:c>
      <x:c r="I44" s="37" t="n">
        <x:v>0</x:v>
      </x:c>
      <x:c r="J44" s="37" t="str">
        <x:v>https://musicbrainz.org/recording/e351e490-cc8a-40f6-bd82-f8d247608ceb</x:v>
      </x:c>
      <x:c r="K44" s="37" t="str">
        <x:v>https://musicbrainz.org/ws/2/recording/?query=recording%3A%22Eric+B.+Is+President%22+AND+artist%3A%22Eric+B.+%26+Rakim%22&amp;fmt=json&amp;limit=8</x:v>
      </x:c>
      <x:c r="L44" s="37" t="str">
        <x:v>Candidate discovery only; does not verify the intended version</x:v>
      </x:c>
    </x:row>
    <x:row r="45">
      <x:c r="A45" s="36" t="n">
        <x:v>44</x:v>
      </x:c>
      <x:c r="B45" s="36" t="str">
        <x:v>candidate_found</x:v>
      </x:c>
      <x:c r="C45" s="36" t="n">
        <x:v>1986</x:v>
      </x:c>
      <x:c r="D45" s="37" t="str">
        <x:v>Boogie Down Productions</x:v>
      </x:c>
      <x:c r="E45" s="37" t="str">
        <x:v>South Bronx</x:v>
      </x:c>
      <x:c r="F45" s="37" t="str">
        <x:v>South Bronx</x:v>
      </x:c>
      <x:c r="G45" s="37" t="str">
        <x:v>Boogie Down Productions</x:v>
      </x:c>
      <x:c r="H45" s="37" t="str">
        <x:v>1986</x:v>
      </x:c>
      <x:c r="I45" s="37" t="n">
        <x:v>0</x:v>
      </x:c>
      <x:c r="J45" s="37" t="str">
        <x:v>https://musicbrainz.org/recording/358346b4-1461-4586-9ad1-c9b6f3c224ec</x:v>
      </x:c>
      <x:c r="K45" s="37" t="str">
        <x:v>https://musicbrainz.org/ws/2/recording/?query=recording%3A%22South+Bronx%22+AND+artist%3A%22Boogie+Down+Productions%22&amp;fmt=json&amp;limit=8</x:v>
      </x:c>
      <x:c r="L45" s="37" t="str">
        <x:v>Candidate discovery only; does not verify the intended version</x:v>
      </x:c>
    </x:row>
    <x:row r="46">
      <x:c r="A46" s="36" t="n">
        <x:v>45</x:v>
      </x:c>
      <x:c r="B46" s="36" t="str">
        <x:v>candidate_found</x:v>
      </x:c>
      <x:c r="C46" s="36" t="n">
        <x:v>1986</x:v>
      </x:c>
      <x:c r="D46" s="37" t="str">
        <x:v>Beastie Boys</x:v>
      </x:c>
      <x:c r="E46" s="37" t="str">
        <x:v>Paul Revere</x:v>
      </x:c>
      <x:c r="F46" s="37" t="str">
        <x:v>Paul Revere</x:v>
      </x:c>
      <x:c r="G46" s="37" t="str">
        <x:v>Beastie Boys</x:v>
      </x:c>
      <x:c r="H46" s="37" t="str">
        <x:v>1986-11-15</x:v>
      </x:c>
      <x:c r="I46" s="37" t="n">
        <x:v>0</x:v>
      </x:c>
      <x:c r="J46" s="37" t="str">
        <x:v>https://musicbrainz.org/recording/14cf3d99-3a5c-4709-8f3e-5319befab6bc</x:v>
      </x:c>
      <x:c r="K46" s="37" t="str">
        <x:v>https://musicbrainz.org/ws/2/recording/?query=recording%3A%22Paul+Revere%22+AND+artist%3A%22Beastie+Boys%22&amp;fmt=json&amp;limit=8</x:v>
      </x:c>
      <x:c r="L46" s="37" t="str">
        <x:v>Candidate discovery only; does not verify the intended version</x:v>
      </x:c>
    </x:row>
    <x:row r="47">
      <x:c r="A47" s="36" t="n">
        <x:v>46</x:v>
      </x:c>
      <x:c r="B47" s="36" t="str">
        <x:v>candidate_found</x:v>
      </x:c>
      <x:c r="C47" s="36" t="n">
        <x:v>1986</x:v>
      </x:c>
      <x:c r="D47" s="37" t="str">
        <x:v>Ultramagnetic MC's</x:v>
      </x:c>
      <x:c r="E47" s="37" t="str">
        <x:v>Ego Trippin'</x:v>
      </x:c>
      <x:c r="F47" s="37" t="str">
        <x:v>Ego Trippin'</x:v>
      </x:c>
      <x:c r="G47" s="37" t="str">
        <x:v>Ultramagnetic MC’s</x:v>
      </x:c>
      <x:c r="H47" s="37" t="str">
        <x:v>2005-11-08</x:v>
      </x:c>
      <x:c r="I47" s="37" t="n">
        <x:v>19</x:v>
      </x:c>
      <x:c r="J47" s="37" t="str">
        <x:v>https://musicbrainz.org/recording/2c94490b-dc5e-4a5c-986b-3c17d7ca32bd</x:v>
      </x:c>
      <x:c r="K47" s="37" t="str">
        <x:v>https://musicbrainz.org/ws/2/recording/?query=recording%3A%22Ego+Trippin%27%22+AND+artist%3A%22Ultramagnetic+MC%27s%22&amp;fmt=json&amp;limit=8</x:v>
      </x:c>
      <x:c r="L47" s="37" t="str">
        <x:v>Candidate discovery only; does not verify the intended version</x:v>
      </x:c>
    </x:row>
    <x:row r="48">
      <x:c r="A48" s="36" t="n">
        <x:v>47</x:v>
      </x:c>
      <x:c r="B48" s="36" t="str">
        <x:v>candidate_found</x:v>
      </x:c>
      <x:c r="C48" s="36" t="n">
        <x:v>1986</x:v>
      </x:c>
      <x:c r="D48" s="37" t="str">
        <x:v>Biz Markie</x:v>
      </x:c>
      <x:c r="E48" s="37" t="str">
        <x:v>Make the Music with Your Mouth Biz</x:v>
      </x:c>
      <x:c r="F48" s="37" t="str">
        <x:v>Make the Music With Your Mouth Biz</x:v>
      </x:c>
      <x:c r="G48" s="37" t="str">
        <x:v>Biz Markie</x:v>
      </x:c>
      <x:c r="H48" s="37" t="str">
        <x:v>1986</x:v>
      </x:c>
      <x:c r="I48" s="37" t="n">
        <x:v>0</x:v>
      </x:c>
      <x:c r="J48" s="37" t="str">
        <x:v>https://musicbrainz.org/recording/ed8ddcd1-c4b3-44c6-98d2-f5014c3d440b</x:v>
      </x:c>
      <x:c r="K48" s="37" t="str">
        <x:v>https://musicbrainz.org/ws/2/recording/?query=recording%3A%22Make+the+Music+with+Your+Mouth+Biz%22+AND+artist%3A%22Biz+Markie%22&amp;fmt=json&amp;limit=8</x:v>
      </x:c>
      <x:c r="L48" s="37" t="str">
        <x:v>Candidate discovery only; does not verify the intended version</x:v>
      </x:c>
    </x:row>
    <x:row r="49">
      <x:c r="A49" s="36" t="n">
        <x:v>48</x:v>
      </x:c>
      <x:c r="B49" s="36" t="str">
        <x:v>candidate_found</x:v>
      </x:c>
      <x:c r="C49" s="36" t="n">
        <x:v>1986</x:v>
      </x:c>
      <x:c r="D49" s="37" t="str">
        <x:v>2 Live Crew</x:v>
      </x:c>
      <x:c r="E49" s="37" t="str">
        <x:v>Throw the D</x:v>
      </x:c>
      <x:c r="F49" s="37" t="str">
        <x:v>Throw the D</x:v>
      </x:c>
      <x:c r="G49" s="37" t="str">
        <x:v>The 2 Live Crew</x:v>
      </x:c>
      <x:c r="H49" s="37" t="str">
        <x:v>1986</x:v>
      </x:c>
      <x:c r="I49" s="37" t="n">
        <x:v>0</x:v>
      </x:c>
      <x:c r="J49" s="37" t="str">
        <x:v>https://musicbrainz.org/recording/54d8fb16-a4ed-44a5-ac61-184856160ad2</x:v>
      </x:c>
      <x:c r="K49" s="37" t="str">
        <x:v>https://musicbrainz.org/ws/2/recording/?query=recording%3A%22Throw+the+D%22+AND+artist%3A%222+Live+Crew%22&amp;fmt=json&amp;limit=8</x:v>
      </x:c>
      <x:c r="L49" s="37" t="str">
        <x:v>Candidate discovery only; does not verify the intended version</x:v>
      </x:c>
    </x:row>
    <x:row r="50">
      <x:c r="A50" s="36" t="n">
        <x:v>49</x:v>
      </x:c>
      <x:c r="B50" s="36" t="str">
        <x:v>no_candidate</x:v>
      </x:c>
      <x:c r="C50" s="36" t="n">
        <x:v>1987</x:v>
      </x:c>
      <x:c r="D50" s="37" t="str">
        <x:v>MC Lyte</x:v>
      </x:c>
      <x:c r="E50" s="37" t="str">
        <x:v>I Cram to Understand U (Sam)</x:v>
      </x:c>
      <x:c r="F50" s="37" t="str"/>
      <x:c r="G50" s="37" t="str"/>
      <x:c r="H50" s="37" t="str"/>
      <x:c r="I50" s="37"/>
      <x:c r="J50" s="37" t="str"/>
      <x:c r="K50" s="37" t="str">
        <x:v>https://musicbrainz.org/ws/2/recording/?query=recording%3A%22I+Cram+to+Understand+U+%28Sam%29%22+AND+artist%3A%22MC+Lyte%22&amp;fmt=json&amp;limit=8</x:v>
      </x:c>
      <x:c r="L50" s="37" t="str">
        <x:v>Candidate discovery only; does not verify the intended version</x:v>
      </x:c>
    </x:row>
    <x:row r="51">
      <x:c r="A51" s="36" t="n">
        <x:v>50</x:v>
      </x:c>
      <x:c r="B51" s="36" t="str">
        <x:v>candidate_found</x:v>
      </x:c>
      <x:c r="C51" s="36" t="n">
        <x:v>1987</x:v>
      </x:c>
      <x:c r="D51" s="37" t="str">
        <x:v>Salt-N-Pepa</x:v>
      </x:c>
      <x:c r="E51" s="37" t="str">
        <x:v>Push It</x:v>
      </x:c>
      <x:c r="F51" s="37" t="str">
        <x:v>Push It</x:v>
      </x:c>
      <x:c r="G51" s="37" t="str">
        <x:v>Salt‐N‐Pepa</x:v>
      </x:c>
      <x:c r="H51" s="37" t="str">
        <x:v>1988-07-11</x:v>
      </x:c>
      <x:c r="I51" s="37" t="n">
        <x:v>1</x:v>
      </x:c>
      <x:c r="J51" s="37" t="str">
        <x:v>https://musicbrainz.org/recording/beb7514d-1906-4813-8ddb-cfc9efa6dff0</x:v>
      </x:c>
      <x:c r="K51" s="37" t="str">
        <x:v>https://musicbrainz.org/ws/2/recording/?query=recording%3A%22Push+It%22+AND+artist%3A%22Salt-N-Pepa%22&amp;fmt=json&amp;limit=8</x:v>
      </x:c>
      <x:c r="L51" s="37" t="str">
        <x:v>Candidate discovery only; does not verify the intended version</x:v>
      </x:c>
    </x:row>
    <x:row r="52">
      <x:c r="A52" s="36" t="n">
        <x:v>51</x:v>
      </x:c>
      <x:c r="B52" s="36" t="str">
        <x:v>candidate_found</x:v>
      </x:c>
      <x:c r="C52" s="36" t="n">
        <x:v>1987</x:v>
      </x:c>
      <x:c r="D52" s="37" t="str">
        <x:v>Public Enemy</x:v>
      </x:c>
      <x:c r="E52" s="37" t="str">
        <x:v>Rebel Without a Pause</x:v>
      </x:c>
      <x:c r="F52" s="37" t="str">
        <x:v>Rebel Without a Pause</x:v>
      </x:c>
      <x:c r="G52" s="37" t="str">
        <x:v>Public Enemy</x:v>
      </x:c>
      <x:c r="H52" s="37" t="str">
        <x:v>1989</x:v>
      </x:c>
      <x:c r="I52" s="37" t="n">
        <x:v>2</x:v>
      </x:c>
      <x:c r="J52" s="37" t="str">
        <x:v>https://musicbrainz.org/recording/55f0d535-17ff-4a6c-aa6c-45b5e7e1d41e</x:v>
      </x:c>
      <x:c r="K52" s="37" t="str">
        <x:v>https://musicbrainz.org/ws/2/recording/?query=recording%3A%22Rebel+Without+a+Pause%22+AND+artist%3A%22Public+Enemy%22&amp;fmt=json&amp;limit=8</x:v>
      </x:c>
      <x:c r="L52" s="37" t="str">
        <x:v>Candidate discovery only; does not verify the intended version</x:v>
      </x:c>
    </x:row>
    <x:row r="53">
      <x:c r="A53" s="36" t="n">
        <x:v>52</x:v>
      </x:c>
      <x:c r="B53" s="36" t="str">
        <x:v>candidate_found</x:v>
      </x:c>
      <x:c r="C53" s="36" t="n">
        <x:v>1987</x:v>
      </x:c>
      <x:c r="D53" s="37" t="str">
        <x:v>EPMD</x:v>
      </x:c>
      <x:c r="E53" s="37" t="str">
        <x:v>It's My Thing</x:v>
      </x:c>
      <x:c r="F53" s="37" t="str">
        <x:v>It's My Thing</x:v>
      </x:c>
      <x:c r="G53" s="37" t="str">
        <x:v>EPMD</x:v>
      </x:c>
      <x:c r="H53" s="37" t="str">
        <x:v>2006-03-07</x:v>
      </x:c>
      <x:c r="I53" s="37" t="n">
        <x:v>19</x:v>
      </x:c>
      <x:c r="J53" s="37" t="str">
        <x:v>https://musicbrainz.org/recording/ace12ceb-3c93-47e1-88af-47d6aaecdc2e</x:v>
      </x:c>
      <x:c r="K53" s="37" t="str">
        <x:v>https://musicbrainz.org/ws/2/recording/?query=recording%3A%22It%27s+My+Thing%22+AND+artist%3A%22EPMD%22&amp;fmt=json&amp;limit=8</x:v>
      </x:c>
      <x:c r="L53" s="37" t="str">
        <x:v>Candidate discovery only; does not verify the intended version</x:v>
      </x:c>
    </x:row>
    <x:row r="54">
      <x:c r="A54" s="36" t="n">
        <x:v>53</x:v>
      </x:c>
      <x:c r="B54" s="36" t="str">
        <x:v>candidate_found</x:v>
      </x:c>
      <x:c r="C54" s="36" t="n">
        <x:v>1987</x:v>
      </x:c>
      <x:c r="D54" s="37" t="str">
        <x:v>Audio Two</x:v>
      </x:c>
      <x:c r="E54" s="37" t="str">
        <x:v>Top Billin'</x:v>
      </x:c>
      <x:c r="F54" s="37" t="str">
        <x:v>Top Billin’</x:v>
      </x:c>
      <x:c r="G54" s="37" t="str">
        <x:v>Audio Two</x:v>
      </x:c>
      <x:c r="H54" s="37" t="str">
        <x:v>1987</x:v>
      </x:c>
      <x:c r="I54" s="37" t="n">
        <x:v>0</x:v>
      </x:c>
      <x:c r="J54" s="37" t="str">
        <x:v>https://musicbrainz.org/recording/16088134-7107-4456-a584-660c07da4306</x:v>
      </x:c>
      <x:c r="K54" s="37" t="str">
        <x:v>https://musicbrainz.org/ws/2/recording/?query=recording%3A%22Top+Billin%27%22+AND+artist%3A%22Audio+Two%22&amp;fmt=json&amp;limit=8</x:v>
      </x:c>
      <x:c r="L54" s="37" t="str">
        <x:v>Candidate discovery only; does not verify the intended version</x:v>
      </x:c>
    </x:row>
    <x:row r="55">
      <x:c r="A55" s="36" t="n">
        <x:v>54</x:v>
      </x:c>
      <x:c r="B55" s="36" t="str">
        <x:v>candidate_found</x:v>
      </x:c>
      <x:c r="C55" s="36" t="n">
        <x:v>1984</x:v>
      </x:c>
      <x:c r="D55" s="37" t="str">
        <x:v>Dee Nasty</x:v>
      </x:c>
      <x:c r="E55" s="37" t="str">
        <x:v>Paname City Rappin'</x:v>
      </x:c>
      <x:c r="F55" s="37" t="str">
        <x:v>Paname City Rappin’</x:v>
      </x:c>
      <x:c r="G55" s="37" t="str">
        <x:v>Dee Nasty</x:v>
      </x:c>
      <x:c r="H55" s="37" t="str">
        <x:v>1984</x:v>
      </x:c>
      <x:c r="I55" s="37" t="n">
        <x:v>0</x:v>
      </x:c>
      <x:c r="J55" s="37" t="str">
        <x:v>https://musicbrainz.org/recording/da975656-7287-458e-b5bc-d02eb27d0452</x:v>
      </x:c>
      <x:c r="K55" s="37" t="str">
        <x:v>https://musicbrainz.org/ws/2/recording/?query=recording%3A%22Paname+City+Rappin%27%22+AND+artist%3A%22Dee+Nasty%22&amp;fmt=json&amp;limit=8</x:v>
      </x:c>
      <x:c r="L55" s="37" t="str">
        <x:v>Candidate discovery only; does not verify the intended version</x:v>
      </x:c>
    </x:row>
    <x:row r="56">
      <x:c r="A56" s="36" t="n">
        <x:v>55</x:v>
      </x:c>
      <x:c r="B56" s="36" t="str">
        <x:v>candidate_found</x:v>
      </x:c>
      <x:c r="C56" s="36" t="n">
        <x:v>1987</x:v>
      </x:c>
      <x:c r="D56" s="37" t="str">
        <x:v>Lionel D</x:v>
      </x:c>
      <x:c r="E56" s="37" t="str">
        <x:v>Y'a pas de problème</x:v>
      </x:c>
      <x:c r="F56" s="37" t="str">
        <x:v>Y'a Pas de Probleme</x:v>
      </x:c>
      <x:c r="G56" s="37" t="str">
        <x:v>Lionel D</x:v>
      </x:c>
      <x:c r="H56" s="37" t="str">
        <x:v>1990</x:v>
      </x:c>
      <x:c r="I56" s="37" t="n">
        <x:v>3</x:v>
      </x:c>
      <x:c r="J56" s="37" t="str">
        <x:v>https://musicbrainz.org/recording/94d33681-b858-4aef-acfd-51b9df8ed1d6</x:v>
      </x:c>
      <x:c r="K56" s="37" t="str">
        <x:v>https://musicbrainz.org/ws/2/recording/?query=recording%3A%22Y%27a+pas+de+probl%C3%A8me%22+AND+artist%3A%22Lionel+D%22&amp;fmt=json&amp;limit=8</x:v>
      </x:c>
      <x:c r="L56" s="37" t="str">
        <x:v>Candidate discovery only; does not verify the intended version</x:v>
      </x:c>
    </x:row>
    <x:row r="57">
      <x:c r="A57" s="36" t="n">
        <x:v>56</x:v>
      </x:c>
      <x:c r="B57" s="36" t="str">
        <x:v>candidate_found</x:v>
      </x:c>
      <x:c r="C57" s="36" t="n">
        <x:v>1988</x:v>
      </x:c>
      <x:c r="D57" s="37" t="str">
        <x:v>Hijack</x:v>
      </x:c>
      <x:c r="E57" s="37" t="str">
        <x:v>Style Wars</x:v>
      </x:c>
      <x:c r="F57" s="37" t="str">
        <x:v>Style Wars</x:v>
      </x:c>
      <x:c r="G57" s="37" t="str">
        <x:v>Hijack</x:v>
      </x:c>
      <x:c r="H57" s="37" t="str">
        <x:v>2001-09-17</x:v>
      </x:c>
      <x:c r="I57" s="37" t="n">
        <x:v>13</x:v>
      </x:c>
      <x:c r="J57" s="37" t="str">
        <x:v>https://musicbrainz.org/recording/ed0046cd-fe0f-4dfc-9da1-9ea66f871089</x:v>
      </x:c>
      <x:c r="K57" s="37" t="str">
        <x:v>https://musicbrainz.org/ws/2/recording/?query=recording%3A%22Style+Wars%22+AND+artist%3A%22Hijack%22&amp;fmt=json&amp;limit=8</x:v>
      </x:c>
      <x:c r="L57" s="37" t="str">
        <x:v>Candidate discovery only; does not verify the intended version</x:v>
      </x:c>
    </x:row>
    <x:row r="58">
      <x:c r="A58" s="36" t="n">
        <x:v>57</x:v>
      </x:c>
      <x:c r="B58" s="36" t="str">
        <x:v>candidate_found</x:v>
      </x:c>
      <x:c r="C58" s="36" t="n">
        <x:v>1989</x:v>
      </x:c>
      <x:c r="D58" s="37" t="str">
        <x:v>Public Enemy</x:v>
      </x:c>
      <x:c r="E58" s="37" t="str">
        <x:v>Fight the Power</x:v>
      </x:c>
      <x:c r="F58" s="37" t="str">
        <x:v>Fight the Power</x:v>
      </x:c>
      <x:c r="G58" s="37" t="str">
        <x:v>Public Enemy</x:v>
      </x:c>
      <x:c r="H58" s="37" t="str">
        <x:v>2003</x:v>
      </x:c>
      <x:c r="I58" s="37" t="n">
        <x:v>14</x:v>
      </x:c>
      <x:c r="J58" s="37" t="str">
        <x:v>https://musicbrainz.org/recording/49632199-c19e-4daa-a6fe-b3d940c0c511</x:v>
      </x:c>
      <x:c r="K58" s="37" t="str">
        <x:v>https://musicbrainz.org/ws/2/recording/?query=recording%3A%22Fight+the+Power%22+AND+artist%3A%22Public+Enemy%22&amp;fmt=json&amp;limit=8</x:v>
      </x:c>
      <x:c r="L58" s="37" t="str">
        <x:v>Candidate discovery only; does not verify the intended version</x:v>
      </x:c>
    </x:row>
    <x:row r="59">
      <x:c r="A59" s="36" t="n">
        <x:v>58</x:v>
      </x:c>
      <x:c r="B59" s="36" t="str">
        <x:v>candidate_found</x:v>
      </x:c>
      <x:c r="C59" s="36" t="n">
        <x:v>1989</x:v>
      </x:c>
      <x:c r="D59" s="37" t="str">
        <x:v>Boogie Down Productions</x:v>
      </x:c>
      <x:c r="E59" s="37" t="str">
        <x:v>You Must Learn</x:v>
      </x:c>
      <x:c r="F59" s="37" t="str">
        <x:v>You Must Learn</x:v>
      </x:c>
      <x:c r="G59" s="37" t="str">
        <x:v>Boogie Down Productions</x:v>
      </x:c>
      <x:c r="H59" s="37" t="str">
        <x:v>1989</x:v>
      </x:c>
      <x:c r="I59" s="37" t="n">
        <x:v>0</x:v>
      </x:c>
      <x:c r="J59" s="37" t="str">
        <x:v>https://musicbrainz.org/recording/c2832bbb-2b4e-4573-86b8-8db39c17fa3b</x:v>
      </x:c>
      <x:c r="K59" s="37" t="str">
        <x:v>https://musicbrainz.org/ws/2/recording/?query=recording%3A%22You+Must+Learn%22+AND+artist%3A%22Boogie+Down+Productions%22&amp;fmt=json&amp;limit=8</x:v>
      </x:c>
      <x:c r="L59" s="37" t="str">
        <x:v>Candidate discovery only; does not verify the intended version</x:v>
      </x:c>
    </x:row>
    <x:row r="60">
      <x:c r="A60" s="36" t="n">
        <x:v>59</x:v>
      </x:c>
      <x:c r="B60" s="36" t="str">
        <x:v>candidate_found</x:v>
      </x:c>
      <x:c r="C60" s="36" t="n">
        <x:v>1989</x:v>
      </x:c>
      <x:c r="D60" s="37" t="str">
        <x:v>Queen Latifah featuring Monie Love</x:v>
      </x:c>
      <x:c r="E60" s="37" t="str">
        <x:v>Ladies First</x:v>
      </x:c>
      <x:c r="F60" s="37" t="str">
        <x:v>Ladies First</x:v>
      </x:c>
      <x:c r="G60" s="37" t="str">
        <x:v>Queen Latifah</x:v>
      </x:c>
      <x:c r="H60" s="37" t="str">
        <x:v>1990</x:v>
      </x:c>
      <x:c r="I60" s="37" t="n">
        <x:v>1</x:v>
      </x:c>
      <x:c r="J60" s="37" t="str">
        <x:v>https://musicbrainz.org/recording/52e9d95d-a41e-4a28-b5b3-a60f6b682757</x:v>
      </x:c>
      <x:c r="K60" s="37" t="str">
        <x:v>https://musicbrainz.org/ws/2/recording/?query=recording%3A%22Ladies+First%22+AND+artist%3A%22Queen+Latifah%22&amp;fmt=json&amp;limit=8</x:v>
      </x:c>
      <x:c r="L60" s="37" t="str">
        <x:v>Candidate discovery only; does not verify the intended version</x:v>
      </x:c>
    </x:row>
    <x:row r="61">
      <x:c r="A61" s="36" t="n">
        <x:v>60</x:v>
      </x:c>
      <x:c r="B61" s="36" t="str">
        <x:v>candidate_found</x:v>
      </x:c>
      <x:c r="C61" s="36" t="n">
        <x:v>1989</x:v>
      </x:c>
      <x:c r="D61" s="37" t="str">
        <x:v>De La Soul</x:v>
      </x:c>
      <x:c r="E61" s="37" t="str">
        <x:v>Me Myself and I</x:v>
      </x:c>
      <x:c r="F61" s="37" t="str">
        <x:v>Me, Myself &amp; I</x:v>
      </x:c>
      <x:c r="G61" s="37" t="str">
        <x:v>De La Soul</x:v>
      </x:c>
      <x:c r="H61" s="37" t="str">
        <x:v>2010-12-12</x:v>
      </x:c>
      <x:c r="I61" s="37" t="n">
        <x:v>21</x:v>
      </x:c>
      <x:c r="J61" s="37" t="str">
        <x:v>https://musicbrainz.org/recording/2e583912-6be4-4429-a32c-5bc222073f50</x:v>
      </x:c>
      <x:c r="K61" s="37" t="str">
        <x:v>https://musicbrainz.org/ws/2/recording/?query=recording%3A%22Me+Myself+and+I%22+AND+artist%3A%22De+La+Soul%22&amp;fmt=json&amp;limit=8</x:v>
      </x:c>
      <x:c r="L61" s="37" t="str">
        <x:v>Candidate discovery only; does not verify the intended version</x:v>
      </x:c>
    </x:row>
    <x:row r="62">
      <x:c r="A62" s="36" t="n">
        <x:v>61</x:v>
      </x:c>
      <x:c r="B62" s="36" t="str">
        <x:v>candidate_found</x:v>
      </x:c>
      <x:c r="C62" s="36" t="n">
        <x:v>1988</x:v>
      </x:c>
      <x:c r="D62" s="37" t="str">
        <x:v>Jungle Brothers</x:v>
      </x:c>
      <x:c r="E62" s="37" t="str">
        <x:v>Straight Out the Jungle</x:v>
      </x:c>
      <x:c r="F62" s="37" t="str">
        <x:v>Straight Out the Jungle</x:v>
      </x:c>
      <x:c r="G62" s="37" t="str">
        <x:v>Jungle Brothers</x:v>
      </x:c>
      <x:c r="H62" s="37" t="str">
        <x:v>1988</x:v>
      </x:c>
      <x:c r="I62" s="37" t="n">
        <x:v>0</x:v>
      </x:c>
      <x:c r="J62" s="37" t="str">
        <x:v>https://musicbrainz.org/recording/2a629d3d-3447-4c84-8c5e-8eb924675c65</x:v>
      </x:c>
      <x:c r="K62" s="37" t="str">
        <x:v>https://musicbrainz.org/ws/2/recording/?query=recording%3A%22Straight+Out+the+Jungle%22+AND+artist%3A%22Jungle+Brothers%22&amp;fmt=json&amp;limit=8</x:v>
      </x:c>
      <x:c r="L62" s="37" t="str">
        <x:v>Candidate discovery only; does not verify the intended version</x:v>
      </x:c>
    </x:row>
    <x:row r="63">
      <x:c r="A63" s="36" t="n">
        <x:v>62</x:v>
      </x:c>
      <x:c r="B63" s="36" t="str">
        <x:v>candidate_found</x:v>
      </x:c>
      <x:c r="C63" s="36" t="n">
        <x:v>1990</x:v>
      </x:c>
      <x:c r="D63" s="37" t="str">
        <x:v>A Tribe Called Quest</x:v>
      </x:c>
      <x:c r="E63" s="37" t="str">
        <x:v>Can I Kick It?</x:v>
      </x:c>
      <x:c r="F63" s="37" t="str">
        <x:v>Can I Kick It</x:v>
      </x:c>
      <x:c r="G63" s="37" t="str">
        <x:v>A Tribe Called Quest</x:v>
      </x:c>
      <x:c r="H63" s="37" t="str">
        <x:v>1990-04-17</x:v>
      </x:c>
      <x:c r="I63" s="37" t="n">
        <x:v>0</x:v>
      </x:c>
      <x:c r="J63" s="37" t="str">
        <x:v>https://musicbrainz.org/recording/735c7120-b098-47c1-99af-2f132a876b9c</x:v>
      </x:c>
      <x:c r="K63" s="37" t="str">
        <x:v>https://musicbrainz.org/ws/2/recording/?query=recording%3A%22Can+I+Kick+It%3F%22+AND+artist%3A%22A+Tribe+Called+Quest%22&amp;fmt=json&amp;limit=8</x:v>
      </x:c>
      <x:c r="L63" s="37" t="str">
        <x:v>Candidate discovery only; does not verify the intended version</x:v>
      </x:c>
    </x:row>
    <x:row r="64">
      <x:c r="A64" s="36" t="n">
        <x:v>63</x:v>
      </x:c>
      <x:c r="B64" s="36" t="str">
        <x:v>candidate_found</x:v>
      </x:c>
      <x:c r="C64" s="36" t="n">
        <x:v>1988</x:v>
      </x:c>
      <x:c r="D64" s="37" t="str">
        <x:v>Eric B. &amp; Rakim</x:v>
      </x:c>
      <x:c r="E64" s="37" t="str">
        <x:v>Follow the Leader</x:v>
      </x:c>
      <x:c r="F64" s="37" t="str">
        <x:v>Follow the Leader</x:v>
      </x:c>
      <x:c r="G64" s="37" t="str">
        <x:v>Eric B. &amp; Rakim</x:v>
      </x:c>
      <x:c r="H64" s="37" t="str">
        <x:v>1988-07-26</x:v>
      </x:c>
      <x:c r="I64" s="37" t="n">
        <x:v>0</x:v>
      </x:c>
      <x:c r="J64" s="37" t="str">
        <x:v>https://musicbrainz.org/recording/e4ea3b2d-b917-453e-bea0-0f66e15a88f9</x:v>
      </x:c>
      <x:c r="K64" s="37" t="str">
        <x:v>https://musicbrainz.org/ws/2/recording/?query=recording%3A%22Follow+the+Leader%22+AND+artist%3A%22Eric+B.+%26+Rakim%22&amp;fmt=json&amp;limit=8</x:v>
      </x:c>
      <x:c r="L64" s="37" t="str">
        <x:v>Candidate discovery only; does not verify the intended version</x:v>
      </x:c>
    </x:row>
    <x:row r="65">
      <x:c r="A65" s="36" t="n">
        <x:v>64</x:v>
      </x:c>
      <x:c r="B65" s="36" t="str">
        <x:v>candidate_found</x:v>
      </x:c>
      <x:c r="C65" s="36" t="n">
        <x:v>1988</x:v>
      </x:c>
      <x:c r="D65" s="37" t="str">
        <x:v>Big Daddy Kane</x:v>
      </x:c>
      <x:c r="E65" s="37" t="str">
        <x:v>Ain't No Half-Steppin'</x:v>
      </x:c>
      <x:c r="F65" s="37" t="str">
        <x:v>Ain’t No Half Steppin’</x:v>
      </x:c>
      <x:c r="G65" s="37" t="str">
        <x:v>Big Daddy Kane</x:v>
      </x:c>
      <x:c r="H65" s="37" t="str">
        <x:v>1999-09-27</x:v>
      </x:c>
      <x:c r="I65" s="37" t="n">
        <x:v>11</x:v>
      </x:c>
      <x:c r="J65" s="37" t="str">
        <x:v>https://musicbrainz.org/recording/b9cb77a5-02d8-48d8-a13f-1e4822786b3e</x:v>
      </x:c>
      <x:c r="K65" s="37" t="str">
        <x:v>https://musicbrainz.org/ws/2/recording/?query=recording%3A%22Ain%27t+No+Half-Steppin%27%22+AND+artist%3A%22Big+Daddy+Kane%22&amp;fmt=json&amp;limit=8</x:v>
      </x:c>
      <x:c r="L65" s="37" t="str">
        <x:v>Candidate discovery only; does not verify the intended version</x:v>
      </x:c>
    </x:row>
    <x:row r="66">
      <x:c r="A66" s="36" t="n">
        <x:v>65</x:v>
      </x:c>
      <x:c r="B66" s="36" t="str">
        <x:v>candidate_found</x:v>
      </x:c>
      <x:c r="C66" s="36" t="n">
        <x:v>1990</x:v>
      </x:c>
      <x:c r="D66" s="37" t="str">
        <x:v>Kool G Rap &amp; DJ Polo</x:v>
      </x:c>
      <x:c r="E66" s="37" t="str">
        <x:v>Streets of New York</x:v>
      </x:c>
      <x:c r="F66" s="37" t="str">
        <x:v>Streets of New York</x:v>
      </x:c>
      <x:c r="G66" s="37" t="str">
        <x:v>Kool G Rap &amp; DJ Polo</x:v>
      </x:c>
      <x:c r="H66" s="37" t="str">
        <x:v>1990-08-14</x:v>
      </x:c>
      <x:c r="I66" s="37" t="n">
        <x:v>0</x:v>
      </x:c>
      <x:c r="J66" s="37" t="str">
        <x:v>https://musicbrainz.org/recording/3f924981-ecea-46d7-b3d8-83d3c7245219</x:v>
      </x:c>
      <x:c r="K66" s="37" t="str">
        <x:v>https://musicbrainz.org/ws/2/recording/?query=recording%3A%22Streets+of+New+York%22+AND+artist%3A%22Kool+G+Rap+%26+DJ+Polo%22&amp;fmt=json&amp;limit=8</x:v>
      </x:c>
      <x:c r="L66" s="37" t="str">
        <x:v>Candidate discovery only; does not verify the intended version</x:v>
      </x:c>
    </x:row>
    <x:row r="67">
      <x:c r="A67" s="36" t="n">
        <x:v>66</x:v>
      </x:c>
      <x:c r="B67" s="36" t="str">
        <x:v>candidate_found</x:v>
      </x:c>
      <x:c r="C67" s="36" t="n">
        <x:v>1988</x:v>
      </x:c>
      <x:c r="D67" s="37" t="str">
        <x:v>N.W.A</x:v>
      </x:c>
      <x:c r="E67" s="37" t="str">
        <x:v>Straight Outta Compton</x:v>
      </x:c>
      <x:c r="F67" s="37" t="str">
        <x:v>Straight Outta Compton</x:v>
      </x:c>
      <x:c r="G67" s="37" t="str">
        <x:v>N.W.A</x:v>
      </x:c>
      <x:c r="H67" s="37" t="str">
        <x:v>1989</x:v>
      </x:c>
      <x:c r="I67" s="37" t="n">
        <x:v>1</x:v>
      </x:c>
      <x:c r="J67" s="37" t="str">
        <x:v>https://musicbrainz.org/recording/62f24090-70fa-4846-bcbf-83319021643c</x:v>
      </x:c>
      <x:c r="K67" s="37" t="str">
        <x:v>https://musicbrainz.org/ws/2/recording/?query=recording%3A%22Straight+Outta+Compton%22+AND+artist%3A%22N.W.A%22&amp;fmt=json&amp;limit=8</x:v>
      </x:c>
      <x:c r="L67" s="37" t="str">
        <x:v>Candidate discovery only; does not verify the intended version</x:v>
      </x:c>
    </x:row>
    <x:row r="68">
      <x:c r="A68" s="36" t="n">
        <x:v>67</x:v>
      </x:c>
      <x:c r="B68" s="36" t="str">
        <x:v>candidate_found</x:v>
      </x:c>
      <x:c r="C68" s="36" t="n">
        <x:v>1988</x:v>
      </x:c>
      <x:c r="D68" s="37" t="str">
        <x:v>Ice-T</x:v>
      </x:c>
      <x:c r="E68" s="37" t="str">
        <x:v>Colors</x:v>
      </x:c>
      <x:c r="F68" s="37" t="str">
        <x:v>Colors</x:v>
      </x:c>
      <x:c r="G68" s="37" t="str">
        <x:v>Ice‐T</x:v>
      </x:c>
      <x:c r="H68" s="37" t="str">
        <x:v>1988-04-26</x:v>
      </x:c>
      <x:c r="I68" s="37" t="n">
        <x:v>0</x:v>
      </x:c>
      <x:c r="J68" s="37" t="str">
        <x:v>https://musicbrainz.org/recording/dca66e34-83d8-4549-b403-33fff3840c45</x:v>
      </x:c>
      <x:c r="K68" s="37" t="str">
        <x:v>https://musicbrainz.org/ws/2/recording/?query=recording%3A%22Colors%22+AND+artist%3A%22Ice-T%22&amp;fmt=json&amp;limit=8</x:v>
      </x:c>
      <x:c r="L68" s="37" t="str">
        <x:v>Candidate discovery only; does not verify the intended version</x:v>
      </x:c>
    </x:row>
    <x:row r="69">
      <x:c r="A69" s="36" t="n">
        <x:v>68</x:v>
      </x:c>
      <x:c r="B69" s="36" t="str">
        <x:v>candidate_found</x:v>
      </x:c>
      <x:c r="C69" s="36" t="n">
        <x:v>1991</x:v>
      </x:c>
      <x:c r="D69" s="37" t="str">
        <x:v>Geto Boys</x:v>
      </x:c>
      <x:c r="E69" s="37" t="str">
        <x:v>Mind Playing Tricks on Me</x:v>
      </x:c>
      <x:c r="F69" s="37" t="str">
        <x:v>Mind Playing Tricks on Me</x:v>
      </x:c>
      <x:c r="G69" s="37" t="str">
        <x:v>Geto Boys</x:v>
      </x:c>
      <x:c r="H69" s="37" t="str">
        <x:v>1991</x:v>
      </x:c>
      <x:c r="I69" s="37" t="n">
        <x:v>0</x:v>
      </x:c>
      <x:c r="J69" s="37" t="str">
        <x:v>https://musicbrainz.org/recording/60e0ad5e-54c1-4536-8aaf-7788af9e420a</x:v>
      </x:c>
      <x:c r="K69" s="37" t="str">
        <x:v>https://musicbrainz.org/ws/2/recording/?query=recording%3A%22Mind+Playing+Tricks+on+Me%22+AND+artist%3A%22Geto+Boys%22&amp;fmt=json&amp;limit=8</x:v>
      </x:c>
      <x:c r="L69" s="37" t="str">
        <x:v>Candidate discovery only; does not verify the intended version</x:v>
      </x:c>
    </x:row>
    <x:row r="70">
      <x:c r="A70" s="36" t="n">
        <x:v>69</x:v>
      </x:c>
      <x:c r="B70" s="36" t="str">
        <x:v>candidate_found</x:v>
      </x:c>
      <x:c r="C70" s="36" t="n">
        <x:v>1991</x:v>
      </x:c>
      <x:c r="D70" s="37" t="str">
        <x:v>DJ Quik</x:v>
      </x:c>
      <x:c r="E70" s="37" t="str">
        <x:v>Tonite</x:v>
      </x:c>
      <x:c r="F70" s="37" t="str">
        <x:v>Tonite</x:v>
      </x:c>
      <x:c r="G70" s="37" t="str">
        <x:v>DJ Quik</x:v>
      </x:c>
      <x:c r="H70" s="37" t="str">
        <x:v>1993-01-19</x:v>
      </x:c>
      <x:c r="I70" s="37" t="n">
        <x:v>2</x:v>
      </x:c>
      <x:c r="J70" s="37" t="str">
        <x:v>https://musicbrainz.org/recording/e05baf4f-f038-425e-889f-46562c4e3be4</x:v>
      </x:c>
      <x:c r="K70" s="37" t="str">
        <x:v>https://musicbrainz.org/ws/2/recording/?query=recording%3A%22Tonite%22+AND+artist%3A%22DJ+Quik%22&amp;fmt=json&amp;limit=8</x:v>
      </x:c>
      <x:c r="L70" s="37" t="str">
        <x:v>Candidate discovery only; does not verify the intended version</x:v>
      </x:c>
    </x:row>
    <x:row r="71">
      <x:c r="A71" s="36" t="n">
        <x:v>70</x:v>
      </x:c>
      <x:c r="B71" s="36" t="str">
        <x:v>candidate_found</x:v>
      </x:c>
      <x:c r="C71" s="36" t="n">
        <x:v>1990</x:v>
      </x:c>
      <x:c r="D71" s="37" t="str">
        <x:v>Too $hort</x:v>
      </x:c>
      <x:c r="E71" s="37" t="str">
        <x:v>The Ghetto</x:v>
      </x:c>
      <x:c r="F71" s="37" t="str">
        <x:v>The Ghetto</x:v>
      </x:c>
      <x:c r="G71" s="37" t="str">
        <x:v>Too $hort</x:v>
      </x:c>
      <x:c r="H71" s="37" t="str">
        <x:v>1990-06-27</x:v>
      </x:c>
      <x:c r="I71" s="37" t="n">
        <x:v>0</x:v>
      </x:c>
      <x:c r="J71" s="37" t="str">
        <x:v>https://musicbrainz.org/recording/a02ddc30-13b1-4a49-a0ff-6f0b90ccc91a</x:v>
      </x:c>
      <x:c r="K71" s="37" t="str">
        <x:v>https://musicbrainz.org/ws/2/recording/?query=recording%3A%22The+Ghetto%22+AND+artist%3A%22Too+%24hort%22&amp;fmt=json&amp;limit=8</x:v>
      </x:c>
      <x:c r="L71" s="37" t="str">
        <x:v>Candidate discovery only; does not verify the intended version</x:v>
      </x:c>
    </x:row>
    <x:row r="72">
      <x:c r="A72" s="36" t="n">
        <x:v>71</x:v>
      </x:c>
      <x:c r="B72" s="36" t="str">
        <x:v>candidate_found</x:v>
      </x:c>
      <x:c r="C72" s="36" t="n">
        <x:v>1991</x:v>
      </x:c>
      <x:c r="D72" s="37" t="str">
        <x:v>Organized Konfusion</x:v>
      </x:c>
      <x:c r="E72" s="37" t="str">
        <x:v>Fudge Pudge</x:v>
      </x:c>
      <x:c r="F72" s="37" t="str">
        <x:v>Fudge Pudge</x:v>
      </x:c>
      <x:c r="G72" s="37" t="str">
        <x:v>Organized Konfusion</x:v>
      </x:c>
      <x:c r="H72" s="37" t="str">
        <x:v>1991-10-29</x:v>
      </x:c>
      <x:c r="I72" s="37" t="n">
        <x:v>0</x:v>
      </x:c>
      <x:c r="J72" s="37" t="str">
        <x:v>https://musicbrainz.org/recording/9364a7bb-962a-47d0-a825-e9d086f3b5e5</x:v>
      </x:c>
      <x:c r="K72" s="37" t="str">
        <x:v>https://musicbrainz.org/ws/2/recording/?query=recording%3A%22Fudge+Pudge%22+AND+artist%3A%22Organized+Konfusion%22&amp;fmt=json&amp;limit=8</x:v>
      </x:c>
      <x:c r="L72" s="37" t="str">
        <x:v>Candidate discovery only; does not verify the intended version</x:v>
      </x:c>
    </x:row>
    <x:row r="73">
      <x:c r="A73" s="36" t="n">
        <x:v>72</x:v>
      </x:c>
      <x:c r="B73" s="36" t="str">
        <x:v>candidate_found</x:v>
      </x:c>
      <x:c r="C73" s="36" t="n">
        <x:v>1991</x:v>
      </x:c>
      <x:c r="D73" s="37" t="str">
        <x:v>Main Source</x:v>
      </x:c>
      <x:c r="E73" s="37" t="str">
        <x:v>Live at the Barbeque</x:v>
      </x:c>
      <x:c r="F73" s="37" t="str">
        <x:v>Live at the Barbeque</x:v>
      </x:c>
      <x:c r="G73" s="37" t="str">
        <x:v>Main Source</x:v>
      </x:c>
      <x:c r="H73" s="37" t="str">
        <x:v>2004</x:v>
      </x:c>
      <x:c r="I73" s="37" t="n">
        <x:v>13</x:v>
      </x:c>
      <x:c r="J73" s="37" t="str">
        <x:v>https://musicbrainz.org/recording/2f894175-c11e-46e1-a93b-6045763b9a57</x:v>
      </x:c>
      <x:c r="K73" s="37" t="str">
        <x:v>https://musicbrainz.org/ws/2/recording/?query=recording%3A%22Live+at+the+Barbeque%22+AND+artist%3A%22Main+Source%22&amp;fmt=json&amp;limit=8</x:v>
      </x:c>
      <x:c r="L73" s="37" t="str">
        <x:v>Candidate discovery only; does not verify the intended version</x:v>
      </x:c>
    </x:row>
    <x:row r="74">
      <x:c r="A74" s="36" t="n">
        <x:v>73</x:v>
      </x:c>
      <x:c r="B74" s="36" t="str">
        <x:v>candidate_found</x:v>
      </x:c>
      <x:c r="C74" s="36" t="n">
        <x:v>1991</x:v>
      </x:c>
      <x:c r="D74" s="37" t="str">
        <x:v>Yo-Yo featuring Ice Cube</x:v>
      </x:c>
      <x:c r="E74" s="37" t="str">
        <x:v>You Can't Play with My Yo-Yo</x:v>
      </x:c>
      <x:c r="F74" s="37" t="str">
        <x:v>You Can't Play With My Yo-Yo</x:v>
      </x:c>
      <x:c r="G74" s="37" t="str">
        <x:v>Yo‐Yo</x:v>
      </x:c>
      <x:c r="H74" s="37" t="str">
        <x:v>1991-03-19</x:v>
      </x:c>
      <x:c r="I74" s="37" t="n">
        <x:v>0</x:v>
      </x:c>
      <x:c r="J74" s="37" t="str">
        <x:v>https://musicbrainz.org/recording/d2a2edd8-f485-44be-b57c-99d3f5ac7817</x:v>
      </x:c>
      <x:c r="K74" s="37" t="str">
        <x:v>https://musicbrainz.org/ws/2/recording/?query=recording%3A%22You+Can%27t+Play+with+My+Yo-Yo%22+AND+artist%3A%22Yo-Yo%22&amp;fmt=json&amp;limit=8</x:v>
      </x:c>
      <x:c r="L74" s="37" t="str">
        <x:v>Candidate discovery only; does not verify the intended version</x:v>
      </x:c>
    </x:row>
    <x:row r="75">
      <x:c r="A75" s="36" t="n">
        <x:v>74</x:v>
      </x:c>
      <x:c r="B75" s="36" t="str">
        <x:v>candidate_found</x:v>
      </x:c>
      <x:c r="C75" s="36" t="n">
        <x:v>1992</x:v>
      </x:c>
      <x:c r="D75" s="37" t="str">
        <x:v>Arrested Development</x:v>
      </x:c>
      <x:c r="E75" s="37" t="str">
        <x:v>Tennessee</x:v>
      </x:c>
      <x:c r="F75" s="37" t="str">
        <x:v>Tennessee</x:v>
      </x:c>
      <x:c r="G75" s="37" t="str">
        <x:v>Arrested Development</x:v>
      </x:c>
      <x:c r="H75" s="37" t="str">
        <x:v>1992</x:v>
      </x:c>
      <x:c r="I75" s="37" t="n">
        <x:v>0</x:v>
      </x:c>
      <x:c r="J75" s="37" t="str">
        <x:v>https://musicbrainz.org/recording/70829644-5fa5-46a0-b0dd-e36b47655801</x:v>
      </x:c>
      <x:c r="K75" s="37" t="str">
        <x:v>https://musicbrainz.org/ws/2/recording/?query=recording%3A%22Tennessee%22+AND+artist%3A%22Arrested+Development%22&amp;fmt=json&amp;limit=8</x:v>
      </x:c>
      <x:c r="L75" s="37" t="str">
        <x:v>Candidate discovery only; does not verify the intended version</x:v>
      </x:c>
    </x:row>
    <x:row r="76">
      <x:c r="A76" s="36" t="n">
        <x:v>75</x:v>
      </x:c>
      <x:c r="B76" s="36" t="str">
        <x:v>candidate_found</x:v>
      </x:c>
      <x:c r="C76" s="36" t="n">
        <x:v>1991</x:v>
      </x:c>
      <x:c r="D76" s="37" t="str">
        <x:v>Cypress Hill</x:v>
      </x:c>
      <x:c r="E76" s="37" t="str">
        <x:v>How I Could Just Kill a Man</x:v>
      </x:c>
      <x:c r="F76" s="37" t="str">
        <x:v>How I Could Just Kill a Man</x:v>
      </x:c>
      <x:c r="G76" s="37" t="str">
        <x:v>Cypress Hill</x:v>
      </x:c>
      <x:c r="H76" s="37" t="str">
        <x:v>1991-08-13</x:v>
      </x:c>
      <x:c r="I76" s="37" t="n">
        <x:v>0</x:v>
      </x:c>
      <x:c r="J76" s="37" t="str">
        <x:v>https://musicbrainz.org/recording/c059b614-2b75-4dfa-8b84-57d075ccda83</x:v>
      </x:c>
      <x:c r="K76" s="37" t="str">
        <x:v>https://musicbrainz.org/ws/2/recording/?query=recording%3A%22How+I+Could+Just+Kill+a+Man%22+AND+artist%3A%22Cypress+Hill%22&amp;fmt=json&amp;limit=8</x:v>
      </x:c>
      <x:c r="L76" s="37" t="str">
        <x:v>Candidate discovery only; does not verify the intended version</x:v>
      </x:c>
    </x:row>
    <x:row r="77">
      <x:c r="A77" s="36" t="n">
        <x:v>76</x:v>
      </x:c>
      <x:c r="B77" s="36" t="str">
        <x:v>candidate_found</x:v>
      </x:c>
      <x:c r="C77" s="36" t="n">
        <x:v>1991</x:v>
      </x:c>
      <x:c r="D77" s="37" t="str">
        <x:v>IAM</x:v>
      </x:c>
      <x:c r="E77" s="37" t="str">
        <x:v>Red Black and Green</x:v>
      </x:c>
      <x:c r="F77" s="37" t="str">
        <x:v>Red, Black and Green</x:v>
      </x:c>
      <x:c r="G77" s="37" t="str">
        <x:v>IAM</x:v>
      </x:c>
      <x:c r="H77" s="37" t="str">
        <x:v>1991</x:v>
      </x:c>
      <x:c r="I77" s="37" t="n">
        <x:v>0</x:v>
      </x:c>
      <x:c r="J77" s="37" t="str">
        <x:v>https://musicbrainz.org/recording/1a308a52-9f8b-4b34-a208-d0e3faa645ff</x:v>
      </x:c>
      <x:c r="K77" s="37" t="str">
        <x:v>https://musicbrainz.org/ws/2/recording/?query=recording%3A%22Red+Black+and+Green%22+AND+artist%3A%22IAM%22&amp;fmt=json&amp;limit=8</x:v>
      </x:c>
      <x:c r="L77" s="37" t="str">
        <x:v>Candidate discovery only; does not verify the intended version</x:v>
      </x:c>
    </x:row>
    <x:row r="78">
      <x:c r="A78" s="36" t="n">
        <x:v>77</x:v>
      </x:c>
      <x:c r="B78" s="36" t="str">
        <x:v>candidate_found</x:v>
      </x:c>
      <x:c r="C78" s="36" t="n">
        <x:v>1990</x:v>
      </x:c>
      <x:c r="D78" s="37" t="str">
        <x:v>Vico C</x:v>
      </x:c>
      <x:c r="E78" s="37" t="str">
        <x:v>La Recta Final</x:v>
      </x:c>
      <x:c r="F78" s="37" t="str">
        <x:v>La recta final</x:v>
      </x:c>
      <x:c r="G78" s="37" t="str">
        <x:v>Vico C</x:v>
      </x:c>
      <x:c r="H78" s="37" t="str">
        <x:v>1990</x:v>
      </x:c>
      <x:c r="I78" s="37" t="n">
        <x:v>0</x:v>
      </x:c>
      <x:c r="J78" s="37" t="str">
        <x:v>https://musicbrainz.org/recording/757ac47d-6e68-4d17-b9f8-ce9001c21345</x:v>
      </x:c>
      <x:c r="K78" s="37" t="str">
        <x:v>https://musicbrainz.org/ws/2/recording/?query=recording%3A%22La+Recta+Final%22+AND+artist%3A%22Vico+C%22&amp;fmt=json&amp;limit=8</x:v>
      </x:c>
      <x:c r="L78" s="37" t="str">
        <x:v>Candidate discovery only; does not verify the intended version</x:v>
      </x:c>
    </x:row>
    <x:row r="79">
      <x:c r="A79" s="36" t="n">
        <x:v>78</x:v>
      </x:c>
      <x:c r="B79" s="36" t="str">
        <x:v>no_candidate</x:v>
      </x:c>
      <x:c r="C79" s="36" t="n">
        <x:v>1990</x:v>
      </x:c>
      <x:c r="D79" s="37" t="str">
        <x:v>Prophets of Da City</x:v>
      </x:c>
      <x:c r="E79" s="37" t="str">
        <x:v>Our World</x:v>
      </x:c>
      <x:c r="F79" s="37" t="str"/>
      <x:c r="G79" s="37" t="str"/>
      <x:c r="H79" s="37" t="str"/>
      <x:c r="I79" s="37"/>
      <x:c r="J79" s="37" t="str"/>
      <x:c r="K79" s="37" t="str">
        <x:v>https://musicbrainz.org/ws/2/recording/?query=recording%3A%22Our+World%22+AND+artist%3A%22Prophets+of+Da+City%22&amp;fmt=json&amp;limit=8</x:v>
      </x:c>
      <x:c r="L79" s="37" t="str">
        <x:v>Candidate discovery only; does not verify the intended version</x:v>
      </x:c>
    </x:row>
    <x:row r="80">
      <x:c r="A80" s="36" t="n">
        <x:v>79</x:v>
      </x:c>
      <x:c r="B80" s="36" t="str">
        <x:v>candidate_found</x:v>
      </x:c>
      <x:c r="C80" s="36" t="n">
        <x:v>1988</x:v>
      </x:c>
      <x:c r="D80" s="37" t="str">
        <x:v>London Posse</x:v>
      </x:c>
      <x:c r="E80" s="37" t="str">
        <x:v>Money Mad</x:v>
      </x:c>
      <x:c r="F80" s="37" t="str">
        <x:v>Money Mad</x:v>
      </x:c>
      <x:c r="G80" s="37" t="str">
        <x:v>London Posse</x:v>
      </x:c>
      <x:c r="H80" s="37" t="str">
        <x:v>1990</x:v>
      </x:c>
      <x:c r="I80" s="37" t="n">
        <x:v>2</x:v>
      </x:c>
      <x:c r="J80" s="37" t="str">
        <x:v>https://musicbrainz.org/recording/bf888d81-e5c5-434b-8add-a01fc4bc9614</x:v>
      </x:c>
      <x:c r="K80" s="37" t="str">
        <x:v>https://musicbrainz.org/ws/2/recording/?query=recording%3A%22Money+Mad%22+AND+artist%3A%22London+Posse%22&amp;fmt=json&amp;limit=8</x:v>
      </x:c>
      <x:c r="L80" s="37" t="str">
        <x:v>Candidate discovery only; does not verify the intended version</x:v>
      </x:c>
    </x:row>
    <x:row r="81">
      <x:c r="A81" s="36" t="n">
        <x:v>80</x:v>
      </x:c>
      <x:c r="B81" s="36" t="str">
        <x:v>candidate_found</x:v>
      </x:c>
      <x:c r="C81" s="36" t="n">
        <x:v>1990</x:v>
      </x:c>
      <x:c r="D81" s="37" t="str">
        <x:v>Monie Love</x:v>
      </x:c>
      <x:c r="E81" s="37" t="str">
        <x:v>Monie in the Middle</x:v>
      </x:c>
      <x:c r="F81" s="37" t="str">
        <x:v>Monie in the Middle</x:v>
      </x:c>
      <x:c r="G81" s="37" t="str">
        <x:v>Monie Love</x:v>
      </x:c>
      <x:c r="H81" s="37" t="str">
        <x:v>1990-10-30</x:v>
      </x:c>
      <x:c r="I81" s="37" t="n">
        <x:v>0</x:v>
      </x:c>
      <x:c r="J81" s="37" t="str">
        <x:v>https://musicbrainz.org/recording/349bd1df-d67c-435d-b04c-2d982e36675f</x:v>
      </x:c>
      <x:c r="K81" s="37" t="str">
        <x:v>https://musicbrainz.org/ws/2/recording/?query=recording%3A%22Monie+in+the+Middle%22+AND+artist%3A%22Monie+Love%22&amp;fmt=json&amp;limit=8</x:v>
      </x:c>
      <x:c r="L81" s="37" t="str">
        <x:v>Candidate discovery only; does not verify the intended version</x:v>
      </x:c>
    </x:row>
    <x:row r="82">
      <x:c r="A82" s="36" t="n">
        <x:v>81</x:v>
      </x:c>
      <x:c r="B82" s="36" t="str">
        <x:v>candidate_found</x:v>
      </x:c>
      <x:c r="C82" s="36" t="n">
        <x:v>1992</x:v>
      </x:c>
      <x:c r="D82" s="37" t="str">
        <x:v>Dr. Dre featuring Snoop Doggy Dogg</x:v>
      </x:c>
      <x:c r="E82" s="37" t="str">
        <x:v>Nuthin' but a 'G' Thang</x:v>
      </x:c>
      <x:c r="F82" s="37" t="str">
        <x:v>Nuthin’ but a “G” Thang</x:v>
      </x:c>
      <x:c r="G82" s="37" t="str">
        <x:v>Dr. Dre</x:v>
      </x:c>
      <x:c r="H82" s="37" t="str">
        <x:v>1993-05-28</x:v>
      </x:c>
      <x:c r="I82" s="37" t="n">
        <x:v>1</x:v>
      </x:c>
      <x:c r="J82" s="37" t="str">
        <x:v>https://musicbrainz.org/recording/d571e6b7-bbf2-4dd3-bf76-3806a3c11f25</x:v>
      </x:c>
      <x:c r="K82" s="37" t="str">
        <x:v>https://musicbrainz.org/ws/2/recording/?query=recording%3A%22Nuthin%27+but+a+%27G%27+Thang%22+AND+artist%3A%22Dr.+Dre%22&amp;fmt=json&amp;limit=8</x:v>
      </x:c>
      <x:c r="L82" s="37" t="str">
        <x:v>Candidate discovery only; does not verify the intended version</x:v>
      </x:c>
    </x:row>
    <x:row r="83">
      <x:c r="A83" s="36" t="n">
        <x:v>82</x:v>
      </x:c>
      <x:c r="B83" s="36" t="str">
        <x:v>candidate_found</x:v>
      </x:c>
      <x:c r="C83" s="36" t="n">
        <x:v>1993</x:v>
      </x:c>
      <x:c r="D83" s="37" t="str">
        <x:v>Snoop Doggy Dogg</x:v>
      </x:c>
      <x:c r="E83" s="37" t="str">
        <x:v>Gin and Juice</x:v>
      </x:c>
      <x:c r="F83" s="37" t="str">
        <x:v>Gin and Juice</x:v>
      </x:c>
      <x:c r="G83" s="37" t="str">
        <x:v>Snoop Doggy Dogg</x:v>
      </x:c>
      <x:c r="H83" s="37" t="str">
        <x:v>1994</x:v>
      </x:c>
      <x:c r="I83" s="37" t="n">
        <x:v>1</x:v>
      </x:c>
      <x:c r="J83" s="37" t="str">
        <x:v>https://musicbrainz.org/recording/eb2b666c-c04f-41a5-90cc-5755c98f7245</x:v>
      </x:c>
      <x:c r="K83" s="37" t="str">
        <x:v>https://musicbrainz.org/ws/2/recording/?query=recording%3A%22Gin+and+Juice%22+AND+artist%3A%22Snoop+Doggy+Dogg%22&amp;fmt=json&amp;limit=8</x:v>
      </x:c>
      <x:c r="L83" s="37" t="str">
        <x:v>Candidate discovery only; does not verify the intended version</x:v>
      </x:c>
    </x:row>
    <x:row r="84">
      <x:c r="A84" s="36" t="n">
        <x:v>83</x:v>
      </x:c>
      <x:c r="B84" s="36" t="str">
        <x:v>candidate_found</x:v>
      </x:c>
      <x:c r="C84" s="36" t="n">
        <x:v>1993</x:v>
      </x:c>
      <x:c r="D84" s="37" t="str">
        <x:v>2Pac</x:v>
      </x:c>
      <x:c r="E84" s="37" t="str">
        <x:v>Keep Ya Head Up</x:v>
      </x:c>
      <x:c r="F84" s="37" t="str">
        <x:v>Keep Ya Head Up</x:v>
      </x:c>
      <x:c r="G84" s="37" t="str">
        <x:v>2Pac</x:v>
      </x:c>
      <x:c r="H84" s="37" t="str">
        <x:v>1993-02-15</x:v>
      </x:c>
      <x:c r="I84" s="37" t="n">
        <x:v>0</x:v>
      </x:c>
      <x:c r="J84" s="37" t="str">
        <x:v>https://musicbrainz.org/recording/da3bb7bc-f9cc-4f29-8cd5-67ac3cff7503</x:v>
      </x:c>
      <x:c r="K84" s="37" t="str">
        <x:v>https://musicbrainz.org/ws/2/recording/?query=recording%3A%22Keep+Ya+Head+Up%22+AND+artist%3A%222Pac%22&amp;fmt=json&amp;limit=8</x:v>
      </x:c>
      <x:c r="L84" s="37" t="str">
        <x:v>Candidate discovery only; does not verify the intended version</x:v>
      </x:c>
    </x:row>
    <x:row r="85">
      <x:c r="A85" s="36" t="n">
        <x:v>84</x:v>
      </x:c>
      <x:c r="B85" s="36" t="str">
        <x:v>candidate_found</x:v>
      </x:c>
      <x:c r="C85" s="36" t="n">
        <x:v>1993</x:v>
      </x:c>
      <x:c r="D85" s="37" t="str">
        <x:v>Wu-Tang Clan</x:v>
      </x:c>
      <x:c r="E85" s="37" t="str">
        <x:v>C.R.E.A.M.</x:v>
      </x:c>
      <x:c r="F85" s="37" t="str">
        <x:v>C.R.E.A.M.</x:v>
      </x:c>
      <x:c r="G85" s="37" t="str">
        <x:v>Wu‐Tang Clan</x:v>
      </x:c>
      <x:c r="H85" s="37" t="str">
        <x:v>2016</x:v>
      </x:c>
      <x:c r="I85" s="37" t="n">
        <x:v>23</x:v>
      </x:c>
      <x:c r="J85" s="37" t="str">
        <x:v>https://musicbrainz.org/recording/246c0545-8a0f-461b-a8a5-12b86c98d2f9</x:v>
      </x:c>
      <x:c r="K85" s="37" t="str">
        <x:v>https://musicbrainz.org/ws/2/recording/?query=recording%3A%22C.R.E.A.M.%22+AND+artist%3A%22Wu-Tang+Clan%22&amp;fmt=json&amp;limit=8</x:v>
      </x:c>
      <x:c r="L85" s="37" t="str">
        <x:v>Candidate discovery only; does not verify the intended version</x:v>
      </x:c>
    </x:row>
    <x:row r="86">
      <x:c r="A86" s="36" t="n">
        <x:v>85</x:v>
      </x:c>
      <x:c r="B86" s="36" t="str">
        <x:v>candidate_found</x:v>
      </x:c>
      <x:c r="C86" s="36" t="n">
        <x:v>1994</x:v>
      </x:c>
      <x:c r="D86" s="37" t="str">
        <x:v>Nas</x:v>
      </x:c>
      <x:c r="E86" s="37" t="str">
        <x:v>N.Y. State of Mind</x:v>
      </x:c>
      <x:c r="F86" s="37" t="str">
        <x:v>N.Y. State of Mind</x:v>
      </x:c>
      <x:c r="G86" s="37" t="str">
        <x:v>Nas</x:v>
      </x:c>
      <x:c r="H86" s="37" t="str">
        <x:v>1994-04-19</x:v>
      </x:c>
      <x:c r="I86" s="37" t="n">
        <x:v>0</x:v>
      </x:c>
      <x:c r="J86" s="37" t="str">
        <x:v>https://musicbrainz.org/recording/28ca75db-8326-4ae9-b916-dbc6d9be6c26</x:v>
      </x:c>
      <x:c r="K86" s="37" t="str">
        <x:v>https://musicbrainz.org/ws/2/recording/?query=recording%3A%22N.Y.+State+of+Mind%22+AND+artist%3A%22Nas%22&amp;fmt=json&amp;limit=8</x:v>
      </x:c>
      <x:c r="L86" s="37" t="str">
        <x:v>Candidate discovery only; does not verify the intended version</x:v>
      </x:c>
    </x:row>
    <x:row r="87">
      <x:c r="A87" s="36" t="n">
        <x:v>86</x:v>
      </x:c>
      <x:c r="B87" s="36" t="str">
        <x:v>candidate_found</x:v>
      </x:c>
      <x:c r="C87" s="36" t="n">
        <x:v>1994</x:v>
      </x:c>
      <x:c r="D87" s="37" t="str">
        <x:v>The Notorious B.I.G.</x:v>
      </x:c>
      <x:c r="E87" s="37" t="str">
        <x:v>Warning</x:v>
      </x:c>
      <x:c r="F87" s="37" t="str">
        <x:v>Warning</x:v>
      </x:c>
      <x:c r="G87" s="37" t="str">
        <x:v>The Notorious B.I.G.</x:v>
      </x:c>
      <x:c r="H87" s="37" t="str">
        <x:v>2016-08-12</x:v>
      </x:c>
      <x:c r="I87" s="37" t="n">
        <x:v>22</x:v>
      </x:c>
      <x:c r="J87" s="37" t="str">
        <x:v>https://musicbrainz.org/recording/28b09f0a-b322-417b-b6b9-d851d2e5165e</x:v>
      </x:c>
      <x:c r="K87" s="37" t="str">
        <x:v>https://musicbrainz.org/ws/2/recording/?query=recording%3A%22Warning%22+AND+artist%3A%22The+Notorious+B.I.G.%22&amp;fmt=json&amp;limit=8</x:v>
      </x:c>
      <x:c r="L87" s="37" t="str">
        <x:v>Candidate discovery only; does not verify the intended version</x:v>
      </x:c>
    </x:row>
    <x:row r="88">
      <x:c r="A88" s="36" t="n">
        <x:v>87</x:v>
      </x:c>
      <x:c r="B88" s="36" t="str">
        <x:v>candidate_found</x:v>
      </x:c>
      <x:c r="C88" s="36" t="n">
        <x:v>1995</x:v>
      </x:c>
      <x:c r="D88" s="37" t="str">
        <x:v>Mobb Deep</x:v>
      </x:c>
      <x:c r="E88" s="37" t="str">
        <x:v>Shook Ones Pt. II</x:v>
      </x:c>
      <x:c r="F88" s="37" t="str">
        <x:v>Shook Ones, Pt. II</x:v>
      </x:c>
      <x:c r="G88" s="37" t="str">
        <x:v>Mobb Deep</x:v>
      </x:c>
      <x:c r="H88" s="37" t="str">
        <x:v>2004</x:v>
      </x:c>
      <x:c r="I88" s="37" t="n">
        <x:v>9</x:v>
      </x:c>
      <x:c r="J88" s="37" t="str">
        <x:v>https://musicbrainz.org/recording/7f85edb8-08d7-42a3-8f2e-e51ac540583f</x:v>
      </x:c>
      <x:c r="K88" s="37" t="str">
        <x:v>https://musicbrainz.org/ws/2/recording/?query=recording%3A%22Shook+Ones+Pt.+II%22+AND+artist%3A%22Mobb+Deep%22&amp;fmt=json&amp;limit=8</x:v>
      </x:c>
      <x:c r="L88" s="37" t="str">
        <x:v>Candidate discovery only; does not verify the intended version</x:v>
      </x:c>
    </x:row>
    <x:row r="89">
      <x:c r="A89" s="36" t="n">
        <x:v>88</x:v>
      </x:c>
      <x:c r="B89" s="36" t="str">
        <x:v>candidate_found</x:v>
      </x:c>
      <x:c r="C89" s="36" t="n">
        <x:v>1993</x:v>
      </x:c>
      <x:c r="D89" s="37" t="str">
        <x:v>Boss</x:v>
      </x:c>
      <x:c r="E89" s="37" t="str">
        <x:v>Deeper</x:v>
      </x:c>
      <x:c r="F89" s="37" t="str">
        <x:v>Deeper</x:v>
      </x:c>
      <x:c r="G89" s="37" t="str">
        <x:v>Boss</x:v>
      </x:c>
      <x:c r="H89" s="37" t="str">
        <x:v>1994-03-14</x:v>
      </x:c>
      <x:c r="I89" s="37" t="n">
        <x:v>1</x:v>
      </x:c>
      <x:c r="J89" s="37" t="str">
        <x:v>https://musicbrainz.org/recording/b6498450-6137-4f94-8b66-93591de3d3b3</x:v>
      </x:c>
      <x:c r="K89" s="37" t="str">
        <x:v>https://musicbrainz.org/ws/2/recording/?query=recording%3A%22Deeper%22+AND+artist%3A%22Boss%22&amp;fmt=json&amp;limit=8</x:v>
      </x:c>
      <x:c r="L89" s="37" t="str">
        <x:v>Candidate discovery only; does not verify the intended version</x:v>
      </x:c>
    </x:row>
    <x:row r="90">
      <x:c r="A90" s="36" t="n">
        <x:v>89</x:v>
      </x:c>
      <x:c r="B90" s="36" t="str">
        <x:v>candidate_found</x:v>
      </x:c>
      <x:c r="C90" s="36" t="n">
        <x:v>1996</x:v>
      </x:c>
      <x:c r="D90" s="37" t="str">
        <x:v>Bone Thugs-N-Harmony</x:v>
      </x:c>
      <x:c r="E90" s="37" t="str">
        <x:v>Tha Crossroads</x:v>
      </x:c>
      <x:c r="F90" s="37" t="str">
        <x:v>Tha Crossroads</x:v>
      </x:c>
      <x:c r="G90" s="37" t="str">
        <x:v>Bone Thugs-N-Harmony</x:v>
      </x:c>
      <x:c r="H90" s="37" t="str">
        <x:v>1996</x:v>
      </x:c>
      <x:c r="I90" s="37" t="n">
        <x:v>0</x:v>
      </x:c>
      <x:c r="J90" s="37" t="str">
        <x:v>https://musicbrainz.org/recording/dcf60a47-1815-43c2-97cd-627b92a311c3</x:v>
      </x:c>
      <x:c r="K90" s="37" t="str">
        <x:v>https://musicbrainz.org/ws/2/recording/?query=recording%3A%22Tha+Crossroads%22+AND+artist%3A%22Bone+Thugs-N-Harmony%22&amp;fmt=json&amp;limit=8</x:v>
      </x:c>
      <x:c r="L90" s="37" t="str">
        <x:v>Candidate discovery only; does not verify the intended version</x:v>
      </x:c>
    </x:row>
    <x:row r="91">
      <x:c r="A91" s="36" t="n">
        <x:v>90</x:v>
      </x:c>
      <x:c r="B91" s="36" t="str">
        <x:v>candidate_found</x:v>
      </x:c>
      <x:c r="C91" s="36" t="n">
        <x:v>1993</x:v>
      </x:c>
      <x:c r="D91" s="37" t="str">
        <x:v>The Coup</x:v>
      </x:c>
      <x:c r="E91" s="37" t="str">
        <x:v>Dig It!</x:v>
      </x:c>
      <x:c r="F91" s="37" t="str">
        <x:v>Dig It!</x:v>
      </x:c>
      <x:c r="G91" s="37" t="str">
        <x:v>The Coup</x:v>
      </x:c>
      <x:c r="H91" s="37" t="str">
        <x:v>1993-05-04</x:v>
      </x:c>
      <x:c r="I91" s="37" t="n">
        <x:v>0</x:v>
      </x:c>
      <x:c r="J91" s="37" t="str">
        <x:v>https://musicbrainz.org/recording/10985d55-544e-4113-b4c6-be9280964a91</x:v>
      </x:c>
      <x:c r="K91" s="37" t="str">
        <x:v>https://musicbrainz.org/ws/2/recording/?query=recording%3A%22Dig+It%21%22+AND+artist%3A%22The+Coup%22&amp;fmt=json&amp;limit=8</x:v>
      </x:c>
      <x:c r="L91" s="37" t="str">
        <x:v>Candidate discovery only; does not verify the intended version</x:v>
      </x:c>
    </x:row>
    <x:row r="92">
      <x:c r="A92" s="36" t="n">
        <x:v>91</x:v>
      </x:c>
      <x:c r="B92" s="36" t="str">
        <x:v>candidate_found</x:v>
      </x:c>
      <x:c r="C92" s="36" t="n">
        <x:v>1994</x:v>
      </x:c>
      <x:c r="D92" s="37" t="str">
        <x:v>Outkast featuring CeeLo</x:v>
      </x:c>
      <x:c r="E92" s="37" t="str">
        <x:v>Git Up, Git Out</x:v>
      </x:c>
      <x:c r="F92" s="37" t="str">
        <x:v>Git Up, Git Out</x:v>
      </x:c>
      <x:c r="G92" s="37" t="str">
        <x:v>OutKast</x:v>
      </x:c>
      <x:c r="H92" s="37" t="str">
        <x:v>1994-04-26</x:v>
      </x:c>
      <x:c r="I92" s="37" t="n">
        <x:v>0</x:v>
      </x:c>
      <x:c r="J92" s="37" t="str">
        <x:v>https://musicbrainz.org/recording/fb1f0971-bdcb-49d7-a720-d0126d4c7e38</x:v>
      </x:c>
      <x:c r="K92" s="37" t="str">
        <x:v>https://musicbrainz.org/ws/2/recording/?query=recording%3A%22Git+Up%2C+Git+Out%22+AND+artist%3A%22Outkast%22&amp;fmt=json&amp;limit=8</x:v>
      </x:c>
      <x:c r="L92" s="37" t="str">
        <x:v>Candidate discovery only; does not verify the intended version</x:v>
      </x:c>
    </x:row>
    <x:row r="93">
      <x:c r="A93" s="36" t="n">
        <x:v>92</x:v>
      </x:c>
      <x:c r="B93" s="36" t="str">
        <x:v>candidate_found</x:v>
      </x:c>
      <x:c r="C93" s="36" t="n">
        <x:v>1995</x:v>
      </x:c>
      <x:c r="D93" s="37" t="str">
        <x:v>Goodie Mob</x:v>
      </x:c>
      <x:c r="E93" s="37" t="str">
        <x:v>Cell Therapy</x:v>
      </x:c>
      <x:c r="F93" s="37" t="str">
        <x:v>Cell Therapy</x:v>
      </x:c>
      <x:c r="G93" s="37" t="str">
        <x:v>Goodie Mob</x:v>
      </x:c>
      <x:c r="H93" s="37" t="str">
        <x:v>2005</x:v>
      </x:c>
      <x:c r="I93" s="37" t="n">
        <x:v>10</x:v>
      </x:c>
      <x:c r="J93" s="37" t="str">
        <x:v>https://musicbrainz.org/recording/540703d0-eef1-4850-9b94-66c499c1e118</x:v>
      </x:c>
      <x:c r="K93" s="37" t="str">
        <x:v>https://musicbrainz.org/ws/2/recording/?query=recording%3A%22Cell+Therapy%22+AND+artist%3A%22Goodie+Mob%22&amp;fmt=json&amp;limit=8</x:v>
      </x:c>
      <x:c r="L93" s="37" t="str">
        <x:v>Candidate discovery only; does not verify the intended version</x:v>
      </x:c>
    </x:row>
    <x:row r="94">
      <x:c r="A94" s="36" t="n">
        <x:v>93</x:v>
      </x:c>
      <x:c r="B94" s="36" t="str">
        <x:v>candidate_found</x:v>
      </x:c>
      <x:c r="C94" s="36" t="n">
        <x:v>1996</x:v>
      </x:c>
      <x:c r="D94" s="37" t="str">
        <x:v>UGK</x:v>
      </x:c>
      <x:c r="E94" s="37" t="str">
        <x:v>One Day</x:v>
      </x:c>
      <x:c r="F94" s="37" t="str">
        <x:v>One Day</x:v>
      </x:c>
      <x:c r="G94" s="37" t="str">
        <x:v>UGK</x:v>
      </x:c>
      <x:c r="H94" s="37" t="str">
        <x:v>1996-06-01</x:v>
      </x:c>
      <x:c r="I94" s="37" t="n">
        <x:v>0</x:v>
      </x:c>
      <x:c r="J94" s="37" t="str">
        <x:v>https://musicbrainz.org/recording/58f9a274-9ab6-40ef-81d9-06f4dc14b22a</x:v>
      </x:c>
      <x:c r="K94" s="37" t="str">
        <x:v>https://musicbrainz.org/ws/2/recording/?query=recording%3A%22One+Day%22+AND+artist%3A%22UGK%22&amp;fmt=json&amp;limit=8</x:v>
      </x:c>
      <x:c r="L94" s="37" t="str">
        <x:v>Candidate discovery only; does not verify the intended version</x:v>
      </x:c>
    </x:row>
    <x:row r="95">
      <x:c r="A95" s="36" t="n">
        <x:v>94</x:v>
      </x:c>
      <x:c r="B95" s="36" t="str">
        <x:v>candidate_found</x:v>
      </x:c>
      <x:c r="C95" s="36" t="n">
        <x:v>1995</x:v>
      </x:c>
      <x:c r="D95" s="37" t="str">
        <x:v>Three 6 Mafia</x:v>
      </x:c>
      <x:c r="E95" s="37" t="str">
        <x:v>Da Summa</x:v>
      </x:c>
      <x:c r="F95" s="37" t="str">
        <x:v>Da Summa</x:v>
      </x:c>
      <x:c r="G95" s="37" t="str">
        <x:v>Three 6 Mafia</x:v>
      </x:c>
      <x:c r="H95" s="37" t="str">
        <x:v>2007-02-06</x:v>
      </x:c>
      <x:c r="I95" s="37" t="n">
        <x:v>12</x:v>
      </x:c>
      <x:c r="J95" s="37" t="str">
        <x:v>https://musicbrainz.org/recording/1eb09768-d071-4cf8-9322-7c828bf61f46</x:v>
      </x:c>
      <x:c r="K95" s="37" t="str">
        <x:v>https://musicbrainz.org/ws/2/recording/?query=recording%3A%22Da+Summa%22+AND+artist%3A%22Three+6+Mafia%22&amp;fmt=json&amp;limit=8</x:v>
      </x:c>
      <x:c r="L95" s="37" t="str">
        <x:v>Candidate discovery only; does not verify the intended version</x:v>
      </x:c>
    </x:row>
    <x:row r="96">
      <x:c r="A96" s="36" t="n">
        <x:v>95</x:v>
      </x:c>
      <x:c r="B96" s="36" t="str">
        <x:v>no_candidate</x:v>
      </x:c>
      <x:c r="C96" s="36" t="n">
        <x:v>1996</x:v>
      </x:c>
      <x:c r="D96" s="37" t="str">
        <x:v>DJ Screw and Screwed Up Click</x:v>
      </x:c>
      <x:c r="E96" s="37" t="str">
        <x:v>June 27th Freestyle</x:v>
      </x:c>
      <x:c r="F96" s="37" t="str"/>
      <x:c r="G96" s="37" t="str"/>
      <x:c r="H96" s="37" t="str"/>
      <x:c r="I96" s="37"/>
      <x:c r="J96" s="37" t="str"/>
      <x:c r="K96" s="37" t="str">
        <x:v>https://musicbrainz.org/ws/2/recording/?query=recording%3A%22June+27th+Freestyle%22+AND+artist%3A%22DJ+Screw+and+Screwed+Up+Click%22&amp;fmt=json&amp;limit=8</x:v>
      </x:c>
      <x:c r="L96" s="37" t="str">
        <x:v>Candidate discovery only; does not verify the intended version</x:v>
      </x:c>
    </x:row>
    <x:row r="97">
      <x:c r="A97" s="36" t="n">
        <x:v>96</x:v>
      </x:c>
      <x:c r="B97" s="36" t="str">
        <x:v>candidate_found</x:v>
      </x:c>
      <x:c r="C97" s="36" t="n">
        <x:v>1993</x:v>
      </x:c>
      <x:c r="D97" s="37" t="str">
        <x:v>Juvenile</x:v>
      </x:c>
      <x:c r="E97" s="37" t="str">
        <x:v>Bounce for the Juvenile</x:v>
      </x:c>
      <x:c r="F97" s="37" t="str">
        <x:v>Bounce For the Juvenile</x:v>
      </x:c>
      <x:c r="G97" s="37" t="str">
        <x:v>JUVENILE</x:v>
      </x:c>
      <x:c r="H97" s="37" t="str">
        <x:v>2000-09-26</x:v>
      </x:c>
      <x:c r="I97" s="37" t="n">
        <x:v>7</x:v>
      </x:c>
      <x:c r="J97" s="37" t="str">
        <x:v>https://musicbrainz.org/recording/a74b88d2-b120-4149-abf7-e41155551892</x:v>
      </x:c>
      <x:c r="K97" s="37" t="str">
        <x:v>https://musicbrainz.org/ws/2/recording/?query=recording%3A%22Bounce+for+the+Juvenile%22+AND+artist%3A%22Juvenile%22&amp;fmt=json&amp;limit=8</x:v>
      </x:c>
      <x:c r="L97" s="37" t="str">
        <x:v>Candidate discovery only; does not verify the intended version</x:v>
      </x:c>
    </x:row>
    <x:row r="98">
      <x:c r="A98" s="36" t="n">
        <x:v>97</x:v>
      </x:c>
      <x:c r="B98" s="36" t="str">
        <x:v>candidate_found</x:v>
      </x:c>
      <x:c r="C98" s="36" t="n">
        <x:v>1993</x:v>
      </x:c>
      <x:c r="D98" s="37" t="str">
        <x:v>DJ Jubilee</x:v>
      </x:c>
      <x:c r="E98" s="37" t="str">
        <x:v>Do the Jubilee All</x:v>
      </x:c>
      <x:c r="F98" s="37" t="str">
        <x:v>Stop Pause, Do the Jubilee All</x:v>
      </x:c>
      <x:c r="G98" s="37" t="str">
        <x:v>DJ Jubilee</x:v>
      </x:c>
      <x:c r="H98" s="37" t="str">
        <x:v>1994-09-01</x:v>
      </x:c>
      <x:c r="I98" s="37" t="n">
        <x:v>1</x:v>
      </x:c>
      <x:c r="J98" s="37" t="str">
        <x:v>https://musicbrainz.org/recording/b1cd1cf9-8209-4a92-9fbc-1b7e86a4e7df</x:v>
      </x:c>
      <x:c r="K98" s="37" t="str">
        <x:v>https://musicbrainz.org/ws/2/recording/?query=recording%3A%22Do+the+Jubilee+All%22+AND+artist%3A%22DJ+Jubilee%22&amp;fmt=json&amp;limit=8</x:v>
      </x:c>
      <x:c r="L98" s="37" t="str">
        <x:v>Candidate discovery only; does not verify the intended version</x:v>
      </x:c>
    </x:row>
    <x:row r="99">
      <x:c r="A99" s="36" t="n">
        <x:v>98</x:v>
      </x:c>
      <x:c r="B99" s="36" t="str">
        <x:v>candidate_found</x:v>
      </x:c>
      <x:c r="C99" s="36" t="n">
        <x:v>1994</x:v>
      </x:c>
      <x:c r="D99" s="37" t="str">
        <x:v>Common</x:v>
      </x:c>
      <x:c r="E99" s="37" t="str">
        <x:v>I Used to Love H.E.R.</x:v>
      </x:c>
      <x:c r="F99" s="37" t="str">
        <x:v>I Used to Love H.E.R.</x:v>
      </x:c>
      <x:c r="G99" s="37" t="str">
        <x:v>Common</x:v>
      </x:c>
      <x:c r="H99" s="37" t="str">
        <x:v>2015-10-16</x:v>
      </x:c>
      <x:c r="I99" s="37" t="n">
        <x:v>21</x:v>
      </x:c>
      <x:c r="J99" s="37" t="str">
        <x:v>https://musicbrainz.org/recording/b0bcdbfc-f044-4ab2-9f3a-726df932dcd3</x:v>
      </x:c>
      <x:c r="K99" s="37" t="str">
        <x:v>https://musicbrainz.org/ws/2/recording/?query=recording%3A%22I+Used+to+Love+H.E.R.%22+AND+artist%3A%22Common%22&amp;fmt=json&amp;limit=8</x:v>
      </x:c>
      <x:c r="L99" s="37" t="str">
        <x:v>Candidate discovery only; does not verify the intended version</x:v>
      </x:c>
    </x:row>
    <x:row r="100">
      <x:c r="A100" s="36" t="n">
        <x:v>99</x:v>
      </x:c>
      <x:c r="B100" s="36" t="str">
        <x:v>candidate_found</x:v>
      </x:c>
      <x:c r="C100" s="36" t="n">
        <x:v>1994</x:v>
      </x:c>
      <x:c r="D100" s="37" t="str">
        <x:v>Da Brat</x:v>
      </x:c>
      <x:c r="E100" s="37" t="str">
        <x:v>Funkdafied</x:v>
      </x:c>
      <x:c r="F100" s="37" t="str">
        <x:v>Funkdafied</x:v>
      </x:c>
      <x:c r="G100" s="37" t="str">
        <x:v>Da Brat</x:v>
      </x:c>
      <x:c r="H100" s="37" t="str">
        <x:v>1994</x:v>
      </x:c>
      <x:c r="I100" s="37" t="n">
        <x:v>0</x:v>
      </x:c>
      <x:c r="J100" s="37" t="str">
        <x:v>https://musicbrainz.org/recording/cc094b27-d486-40d1-8311-f1a99ae73f9a</x:v>
      </x:c>
      <x:c r="K100" s="37" t="str">
        <x:v>https://musicbrainz.org/ws/2/recording/?query=recording%3A%22Funkdafied%22+AND+artist%3A%22Da+Brat%22&amp;fmt=json&amp;limit=8</x:v>
      </x:c>
      <x:c r="L100" s="37" t="str">
        <x:v>Candidate discovery only; does not verify the intended version</x:v>
      </x:c>
    </x:row>
    <x:row r="101">
      <x:c r="A101" s="36" t="n">
        <x:v>100</x:v>
      </x:c>
      <x:c r="B101" s="36" t="str">
        <x:v>candidate_found</x:v>
      </x:c>
      <x:c r="C101" s="36" t="n">
        <x:v>1996</x:v>
      </x:c>
      <x:c r="D101" s="37" t="str">
        <x:v>Bahamadia</x:v>
      </x:c>
      <x:c r="E101" s="37" t="str">
        <x:v>Uknowhowwedu</x:v>
      </x:c>
      <x:c r="F101" s="37" t="str">
        <x:v>UKNOWHOWWEDU</x:v>
      </x:c>
      <x:c r="G101" s="37" t="str">
        <x:v>Bahamadia</x:v>
      </x:c>
      <x:c r="H101" s="37" t="str">
        <x:v>1996</x:v>
      </x:c>
      <x:c r="I101" s="37" t="n">
        <x:v>0</x:v>
      </x:c>
      <x:c r="J101" s="37" t="str">
        <x:v>https://musicbrainz.org/recording/af592c52-3727-4263-87c8-eeb7402ae622</x:v>
      </x:c>
      <x:c r="K101" s="37" t="str">
        <x:v>https://musicbrainz.org/ws/2/recording/?query=recording%3A%22Uknowhowwedu%22+AND+artist%3A%22Bahamadia%22&amp;fmt=json&amp;limit=8</x:v>
      </x:c>
      <x:c r="L101" s="37" t="str">
        <x:v>Candidate discovery only; does not verify the intended version</x:v>
      </x:c>
    </x:row>
    <x:row r="102">
      <x:c r="A102" s="36" t="n">
        <x:v>101</x:v>
      </x:c>
      <x:c r="B102" s="36" t="str">
        <x:v>candidate_found</x:v>
      </x:c>
      <x:c r="C102" s="36" t="n">
        <x:v>1993</x:v>
      </x:c>
      <x:c r="D102" s="37" t="str">
        <x:v>IAM</x:v>
      </x:c>
      <x:c r="E102" s="37" t="str">
        <x:v>Je danse le mia</x:v>
      </x:c>
      <x:c r="F102" s="37" t="str">
        <x:v>Je danse le mia</x:v>
      </x:c>
      <x:c r="G102" s="37" t="str">
        <x:v>IAM</x:v>
      </x:c>
      <x:c r="H102" s="37" t="str">
        <x:v>1994-10-18</x:v>
      </x:c>
      <x:c r="I102" s="37" t="n">
        <x:v>1</x:v>
      </x:c>
      <x:c r="J102" s="37" t="str">
        <x:v>https://musicbrainz.org/recording/956550d1-5837-4493-b518-49720f1d7181</x:v>
      </x:c>
      <x:c r="K102" s="37" t="str">
        <x:v>https://musicbrainz.org/ws/2/recording/?query=recording%3A%22Je+danse+le+mia%22+AND+artist%3A%22IAM%22&amp;fmt=json&amp;limit=8</x:v>
      </x:c>
      <x:c r="L102" s="37" t="str">
        <x:v>Candidate discovery only; does not verify the intended version</x:v>
      </x:c>
    </x:row>
    <x:row r="103">
      <x:c r="A103" s="36" t="n">
        <x:v>102</x:v>
      </x:c>
      <x:c r="B103" s="36" t="str">
        <x:v>candidate_found</x:v>
      </x:c>
      <x:c r="C103" s="36" t="n">
        <x:v>1994</x:v>
      </x:c>
      <x:c r="D103" s="37" t="str">
        <x:v>MC Solaar</x:v>
      </x:c>
      <x:c r="E103" s="37" t="str">
        <x:v>Nouveau Western</x:v>
      </x:c>
      <x:c r="F103" s="37" t="str">
        <x:v>Nouveau Western</x:v>
      </x:c>
      <x:c r="G103" s="37" t="str">
        <x:v>MC Solaar</x:v>
      </x:c>
      <x:c r="H103" s="37" t="str">
        <x:v>1994-06</x:v>
      </x:c>
      <x:c r="I103" s="37" t="n">
        <x:v>0</x:v>
      </x:c>
      <x:c r="J103" s="37" t="str">
        <x:v>https://musicbrainz.org/recording/9276b17a-c7d8-45d5-8b14-70c206335baa</x:v>
      </x:c>
      <x:c r="K103" s="37" t="str">
        <x:v>https://musicbrainz.org/ws/2/recording/?query=recording%3A%22Nouveau+Western%22+AND+artist%3A%22MC+Solaar%22&amp;fmt=json&amp;limit=8</x:v>
      </x:c>
      <x:c r="L103" s="37" t="str">
        <x:v>Candidate discovery only; does not verify the intended version</x:v>
      </x:c>
    </x:row>
    <x:row r="104">
      <x:c r="A104" s="36" t="n">
        <x:v>103</x:v>
      </x:c>
      <x:c r="B104" s="36" t="str">
        <x:v>candidate_found</x:v>
      </x:c>
      <x:c r="C104" s="36" t="n">
        <x:v>1993</x:v>
      </x:c>
      <x:c r="D104" s="37" t="str">
        <x:v>Racionais MC's</x:v>
      </x:c>
      <x:c r="E104" s="37" t="str">
        <x:v>Homem na Estrada</x:v>
      </x:c>
      <x:c r="F104" s="37" t="str">
        <x:v>Homem na estrada</x:v>
      </x:c>
      <x:c r="G104" s="37" t="str">
        <x:v>Racionais MC’s</x:v>
      </x:c>
      <x:c r="H104" s="37" t="str">
        <x:v>1993</x:v>
      </x:c>
      <x:c r="I104" s="37" t="n">
        <x:v>0</x:v>
      </x:c>
      <x:c r="J104" s="37" t="str">
        <x:v>https://musicbrainz.org/recording/ab56edae-3b98-4a28-9527-4e5a5a9dfd35</x:v>
      </x:c>
      <x:c r="K104" s="37" t="str">
        <x:v>https://musicbrainz.org/ws/2/recording/?query=recording%3A%22Homem+na+Estrada%22+AND+artist%3A%22Racionais+MC%27s%22&amp;fmt=json&amp;limit=8</x:v>
      </x:c>
      <x:c r="L104" s="37" t="str">
        <x:v>Candidate discovery only; does not verify the intended version</x:v>
      </x:c>
    </x:row>
    <x:row r="105">
      <x:c r="A105" s="36" t="n">
        <x:v>104</x:v>
      </x:c>
      <x:c r="B105" s="36" t="str">
        <x:v>candidate_found</x:v>
      </x:c>
      <x:c r="C105" s="36" t="n">
        <x:v>1994</x:v>
      </x:c>
      <x:c r="D105" s="37" t="str">
        <x:v>Prophets of Da City</x:v>
      </x:c>
      <x:c r="E105" s="37" t="str">
        <x:v>Never Again</x:v>
      </x:c>
      <x:c r="F105" s="37" t="str">
        <x:v>Never Again</x:v>
      </x:c>
      <x:c r="G105" s="37" t="str">
        <x:v>Prophets of da City</x:v>
      </x:c>
      <x:c r="H105" s="37" t="str">
        <x:v>1994</x:v>
      </x:c>
      <x:c r="I105" s="37" t="n">
        <x:v>0</x:v>
      </x:c>
      <x:c r="J105" s="37" t="str">
        <x:v>https://musicbrainz.org/recording/d49d4851-4a9d-4b40-92d1-1262f57f3a50</x:v>
      </x:c>
      <x:c r="K105" s="37" t="str">
        <x:v>https://musicbrainz.org/ws/2/recording/?query=recording%3A%22Never+Again%22+AND+artist%3A%22Prophets+of+Da+City%22&amp;fmt=json&amp;limit=8</x:v>
      </x:c>
      <x:c r="L105" s="37" t="str">
        <x:v>Candidate discovery only; does not verify the intended version</x:v>
      </x:c>
    </x:row>
    <x:row r="106">
      <x:c r="A106" s="36" t="n">
        <x:v>105</x:v>
      </x:c>
      <x:c r="B106" s="36" t="str">
        <x:v>no_candidate</x:v>
      </x:c>
      <x:c r="C106" s="36" t="n">
        <x:v>1996</x:v>
      </x:c>
      <x:c r="D106" s="37" t="str">
        <x:v>Kaliber 44</x:v>
      </x:c>
      <x:c r="E106" s="37" t="str">
        <x:v>Plus i minus</x:v>
      </x:c>
      <x:c r="F106" s="37" t="str"/>
      <x:c r="G106" s="37" t="str"/>
      <x:c r="H106" s="37" t="str"/>
      <x:c r="I106" s="37"/>
      <x:c r="J106" s="37" t="str"/>
      <x:c r="K106" s="37" t="str">
        <x:v>https://musicbrainz.org/ws/2/recording/?query=recording%3A%22Plus+i+minus%22+AND+artist%3A%22Kaliber+44%22&amp;fmt=json&amp;limit=8</x:v>
      </x:c>
      <x:c r="L106" s="37" t="str">
        <x:v>Candidate discovery only; does not verify the intended version</x:v>
      </x:c>
    </x:row>
    <x:row r="107">
      <x:c r="A107" s="36" t="n">
        <x:v>106</x:v>
      </x:c>
      <x:c r="B107" s="36" t="str">
        <x:v>candidate_found</x:v>
      </x:c>
      <x:c r="C107" s="36" t="n">
        <x:v>1995</x:v>
      </x:c>
      <x:c r="D107" s="37" t="str">
        <x:v>Positive Black Soul</x:v>
      </x:c>
      <x:c r="E107" s="37" t="str">
        <x:v>Boul ma mine</x:v>
      </x:c>
      <x:c r="F107" s="37" t="str">
        <x:v>Boul Ma Mine</x:v>
      </x:c>
      <x:c r="G107" s="37" t="str">
        <x:v>Positive Black Soul</x:v>
      </x:c>
      <x:c r="H107" s="37" t="str">
        <x:v>2001-11-26</x:v>
      </x:c>
      <x:c r="I107" s="37" t="n">
        <x:v>6</x:v>
      </x:c>
      <x:c r="J107" s="37" t="str">
        <x:v>https://musicbrainz.org/recording/d91ef555-632a-4bb4-ade2-cd9b193256a3</x:v>
      </x:c>
      <x:c r="K107" s="37" t="str">
        <x:v>https://musicbrainz.org/ws/2/recording/?query=recording%3A%22Boul+ma+mine%22+AND+artist%3A%22Positive+Black+Soul%22&amp;fmt=json&amp;limit=8</x:v>
      </x:c>
      <x:c r="L107" s="37" t="str">
        <x:v>Candidate discovery only; does not verify the intended version</x:v>
      </x:c>
    </x:row>
    <x:row r="108">
      <x:c r="A108" s="36" t="n">
        <x:v>107</x:v>
      </x:c>
      <x:c r="B108" s="36" t="str">
        <x:v>candidate_found</x:v>
      </x:c>
      <x:c r="C108" s="36" t="n">
        <x:v>1996</x:v>
      </x:c>
      <x:c r="D108" s="37" t="str">
        <x:v>The Roots</x:v>
      </x:c>
      <x:c r="E108" s="37" t="str">
        <x:v>What They Do</x:v>
      </x:c>
      <x:c r="F108" s="37" t="str">
        <x:v>What They Do</x:v>
      </x:c>
      <x:c r="G108" s="37" t="str">
        <x:v>The Roots</x:v>
      </x:c>
      <x:c r="H108" s="37" t="str">
        <x:v>1996-09-24</x:v>
      </x:c>
      <x:c r="I108" s="37" t="n">
        <x:v>0</x:v>
      </x:c>
      <x:c r="J108" s="37" t="str">
        <x:v>https://musicbrainz.org/recording/05979dba-2d9e-443f-9525-f5dc76b826fa</x:v>
      </x:c>
      <x:c r="K108" s="37" t="str">
        <x:v>https://musicbrainz.org/ws/2/recording/?query=recording%3A%22What+They+Do%22+AND+artist%3A%22The+Roots%22&amp;fmt=json&amp;limit=8</x:v>
      </x:c>
      <x:c r="L108" s="37" t="str">
        <x:v>Candidate discovery only; does not verify the intended version</x:v>
      </x:c>
    </x:row>
    <x:row r="109">
      <x:c r="A109" s="36" t="n">
        <x:v>108</x:v>
      </x:c>
      <x:c r="B109" s="36" t="str">
        <x:v>candidate_found</x:v>
      </x:c>
      <x:c r="C109" s="36" t="n">
        <x:v>1998</x:v>
      </x:c>
      <x:c r="D109" s="37" t="str">
        <x:v>Black Star</x:v>
      </x:c>
      <x:c r="E109" s="37" t="str">
        <x:v>Definition</x:v>
      </x:c>
      <x:c r="F109" s="37" t="str">
        <x:v>Definition</x:v>
      </x:c>
      <x:c r="G109" s="37" t="str">
        <x:v>Black Star</x:v>
      </x:c>
      <x:c r="H109" s="37" t="str">
        <x:v>1998</x:v>
      </x:c>
      <x:c r="I109" s="37" t="n">
        <x:v>0</x:v>
      </x:c>
      <x:c r="J109" s="37" t="str">
        <x:v>https://musicbrainz.org/recording/8f4c91c3-acc4-4c1f-83a2-e9e0ba06aedc</x:v>
      </x:c>
      <x:c r="K109" s="37" t="str">
        <x:v>https://musicbrainz.org/ws/2/recording/?query=recording%3A%22Definition%22+AND+artist%3A%22Black+Star%22&amp;fmt=json&amp;limit=8</x:v>
      </x:c>
      <x:c r="L109" s="37" t="str">
        <x:v>Candidate discovery only; does not verify the intended version</x:v>
      </x:c>
    </x:row>
    <x:row r="110">
      <x:c r="A110" s="36" t="n">
        <x:v>109</x:v>
      </x:c>
      <x:c r="B110" s="36" t="str">
        <x:v>candidate_found</x:v>
      </x:c>
      <x:c r="C110" s="36" t="n">
        <x:v>2000</x:v>
      </x:c>
      <x:c r="D110" s="37" t="str">
        <x:v>dead prez</x:v>
      </x:c>
      <x:c r="E110" s="37" t="str">
        <x:v>Hip-Hop</x:v>
      </x:c>
      <x:c r="F110" s="37" t="str">
        <x:v>Hip‐Hop</x:v>
      </x:c>
      <x:c r="G110" s="37" t="str">
        <x:v>dead prez</x:v>
      </x:c>
      <x:c r="H110" s="37" t="str">
        <x:v>2000-01-14</x:v>
      </x:c>
      <x:c r="I110" s="37" t="n">
        <x:v>0</x:v>
      </x:c>
      <x:c r="J110" s="37" t="str">
        <x:v>https://musicbrainz.org/recording/ce7f367e-bc2f-4759-83d5-ff607b26b60e</x:v>
      </x:c>
      <x:c r="K110" s="37" t="str">
        <x:v>https://musicbrainz.org/ws/2/recording/?query=recording%3A%22Hip-Hop%22+AND+artist%3A%22dead+prez%22&amp;fmt=json&amp;limit=8</x:v>
      </x:c>
      <x:c r="L110" s="37" t="str">
        <x:v>Candidate discovery only; does not verify the intended version</x:v>
      </x:c>
    </x:row>
    <x:row r="111">
      <x:c r="A111" s="36" t="n">
        <x:v>110</x:v>
      </x:c>
      <x:c r="B111" s="36" t="str">
        <x:v>candidate_found</x:v>
      </x:c>
      <x:c r="C111" s="36" t="n">
        <x:v>1998</x:v>
      </x:c>
      <x:c r="D111" s="37" t="str">
        <x:v>Lauryn Hill</x:v>
      </x:c>
      <x:c r="E111" s="37" t="str">
        <x:v>Lost Ones</x:v>
      </x:c>
      <x:c r="F111" s="37" t="str">
        <x:v>Lost Ones</x:v>
      </x:c>
      <x:c r="G111" s="37" t="str">
        <x:v>Lauryn Hill</x:v>
      </x:c>
      <x:c r="H111" s="37" t="str">
        <x:v>1998-08-19</x:v>
      </x:c>
      <x:c r="I111" s="37" t="n">
        <x:v>0</x:v>
      </x:c>
      <x:c r="J111" s="37" t="str">
        <x:v>https://musicbrainz.org/recording/09ddbb79-4fec-468d-b300-aa1f95f837c0</x:v>
      </x:c>
      <x:c r="K111" s="37" t="str">
        <x:v>https://musicbrainz.org/ws/2/recording/?query=recording%3A%22Lost+Ones%22+AND+artist%3A%22Lauryn+Hill%22&amp;fmt=json&amp;limit=8</x:v>
      </x:c>
      <x:c r="L111" s="37" t="str">
        <x:v>Candidate discovery only; does not verify the intended version</x:v>
      </x:c>
    </x:row>
    <x:row r="112">
      <x:c r="A112" s="36" t="n">
        <x:v>111</x:v>
      </x:c>
      <x:c r="B112" s="36" t="str">
        <x:v>candidate_found</x:v>
      </x:c>
      <x:c r="C112" s="36" t="n">
        <x:v>1997</x:v>
      </x:c>
      <x:c r="D112" s="37" t="str">
        <x:v>Missy Elliott</x:v>
      </x:c>
      <x:c r="E112" s="37" t="str">
        <x:v>The Rain (Supa Dupa Fly)</x:v>
      </x:c>
      <x:c r="F112" s="37" t="str">
        <x:v>The Rain (Supa Dupa Fly)</x:v>
      </x:c>
      <x:c r="G112" s="37" t="str">
        <x:v>Missy Elliott</x:v>
      </x:c>
      <x:c r="H112" s="37" t="str">
        <x:v>1997-10-24</x:v>
      </x:c>
      <x:c r="I112" s="37" t="n">
        <x:v>0</x:v>
      </x:c>
      <x:c r="J112" s="37" t="str">
        <x:v>https://musicbrainz.org/recording/8f6eecdb-9508-4276-b7df-9e6b12fe8011</x:v>
      </x:c>
      <x:c r="K112" s="37" t="str">
        <x:v>https://musicbrainz.org/ws/2/recording/?query=recording%3A%22The+Rain+%28Supa+Dupa+Fly%29%22+AND+artist%3A%22Missy+Elliott%22&amp;fmt=json&amp;limit=8</x:v>
      </x:c>
      <x:c r="L112" s="37" t="str">
        <x:v>Candidate discovery only; does not verify the intended version</x:v>
      </x:c>
    </x:row>
    <x:row r="113">
      <x:c r="A113" s="36" t="n">
        <x:v>112</x:v>
      </x:c>
      <x:c r="B113" s="36" t="str">
        <x:v>candidate_found</x:v>
      </x:c>
      <x:c r="C113" s="36" t="n">
        <x:v>2000</x:v>
      </x:c>
      <x:c r="D113" s="37" t="str">
        <x:v>Eminem featuring Dido</x:v>
      </x:c>
      <x:c r="E113" s="37" t="str">
        <x:v>Stan</x:v>
      </x:c>
      <x:c r="F113" s="37" t="str">
        <x:v>Stan</x:v>
      </x:c>
      <x:c r="G113" s="37" t="str">
        <x:v>Eminem</x:v>
      </x:c>
      <x:c r="H113" s="37" t="str"/>
      <x:c r="I113" s="37"/>
      <x:c r="J113" s="37" t="str">
        <x:v>https://musicbrainz.org/recording/888d13a8-5bbb-44d8-b3c9-5c3812020110</x:v>
      </x:c>
      <x:c r="K113" s="37" t="str">
        <x:v>https://musicbrainz.org/ws/2/recording/?query=recording%3A%22Stan%22+AND+artist%3A%22Eminem%22&amp;fmt=json&amp;limit=8</x:v>
      </x:c>
      <x:c r="L113" s="37" t="str">
        <x:v>Candidate discovery only; does not verify the intended version</x:v>
      </x:c>
    </x:row>
    <x:row r="114">
      <x:c r="A114" s="36" t="n">
        <x:v>113</x:v>
      </x:c>
      <x:c r="B114" s="36" t="str">
        <x:v>candidate_found</x:v>
      </x:c>
      <x:c r="C114" s="36" t="n">
        <x:v>1997</x:v>
      </x:c>
      <x:c r="D114" s="37" t="str">
        <x:v>Company Flow</x:v>
      </x:c>
      <x:c r="E114" s="37" t="str">
        <x:v>8 Steps to Perfection</x:v>
      </x:c>
      <x:c r="F114" s="37" t="str">
        <x:v>8 Steps To Perfection</x:v>
      </x:c>
      <x:c r="G114" s="37" t="str">
        <x:v>Company Flow</x:v>
      </x:c>
      <x:c r="H114" s="37" t="str">
        <x:v>1997</x:v>
      </x:c>
      <x:c r="I114" s="37" t="n">
        <x:v>0</x:v>
      </x:c>
      <x:c r="J114" s="37" t="str">
        <x:v>https://musicbrainz.org/recording/8ddc4048-0f83-47fb-bd1f-d86b636a218f</x:v>
      </x:c>
      <x:c r="K114" s="37" t="str">
        <x:v>https://musicbrainz.org/ws/2/recording/?query=recording%3A%228+Steps+to+Perfection%22+AND+artist%3A%22Company+Flow%22&amp;fmt=json&amp;limit=8</x:v>
      </x:c>
      <x:c r="L114" s="37" t="str">
        <x:v>Candidate discovery only; does not verify the intended version</x:v>
      </x:c>
    </x:row>
    <x:row r="115">
      <x:c r="A115" s="36" t="n">
        <x:v>114</x:v>
      </x:c>
      <x:c r="B115" s="36" t="str">
        <x:v>candidate_found</x:v>
      </x:c>
      <x:c r="C115" s="36" t="n">
        <x:v>1999</x:v>
      </x:c>
      <x:c r="D115" s="37" t="str">
        <x:v>Mos Def</x:v>
      </x:c>
      <x:c r="E115" s="37" t="str">
        <x:v>Mathematics</x:v>
      </x:c>
      <x:c r="F115" s="37" t="str">
        <x:v>Mathematics</x:v>
      </x:c>
      <x:c r="G115" s="37" t="str">
        <x:v>Mos Def</x:v>
      </x:c>
      <x:c r="H115" s="37" t="str">
        <x:v>1999</x:v>
      </x:c>
      <x:c r="I115" s="37" t="n">
        <x:v>0</x:v>
      </x:c>
      <x:c r="J115" s="37" t="str">
        <x:v>https://musicbrainz.org/recording/8b2b74e0-4b7b-436e-9550-49f04f6b88d3</x:v>
      </x:c>
      <x:c r="K115" s="37" t="str">
        <x:v>https://musicbrainz.org/ws/2/recording/?query=recording%3A%22Mathematics%22+AND+artist%3A%22Mos+Def%22&amp;fmt=json&amp;limit=8</x:v>
      </x:c>
      <x:c r="L115" s="37" t="str">
        <x:v>Candidate discovery only; does not verify the intended version</x:v>
      </x:c>
    </x:row>
    <x:row r="116">
      <x:c r="A116" s="36" t="n">
        <x:v>115</x:v>
      </x:c>
      <x:c r="B116" s="36" t="str">
        <x:v>candidate_found</x:v>
      </x:c>
      <x:c r="C116" s="36" t="n">
        <x:v>1999</x:v>
      </x:c>
      <x:c r="D116" s="37" t="str">
        <x:v>MF DOOM</x:v>
      </x:c>
      <x:c r="E116" s="37" t="str">
        <x:v>Doomsday</x:v>
      </x:c>
      <x:c r="F116" s="37" t="str">
        <x:v>Doomsday</x:v>
      </x:c>
      <x:c r="G116" s="37" t="str">
        <x:v>MF DOOM</x:v>
      </x:c>
      <x:c r="H116" s="37" t="str">
        <x:v>1999-10-19</x:v>
      </x:c>
      <x:c r="I116" s="37" t="n">
        <x:v>0</x:v>
      </x:c>
      <x:c r="J116" s="37" t="str">
        <x:v>https://musicbrainz.org/recording/2356e949-f493-4911-afb1-de0d470b51dc</x:v>
      </x:c>
      <x:c r="K116" s="37" t="str">
        <x:v>https://musicbrainz.org/ws/2/recording/?query=recording%3A%22Doomsday%22+AND+artist%3A%22MF+DOOM%22&amp;fmt=json&amp;limit=8</x:v>
      </x:c>
      <x:c r="L116" s="37" t="str">
        <x:v>Candidate discovery only; does not verify the intended version</x:v>
      </x:c>
    </x:row>
    <x:row r="117">
      <x:c r="A117" s="36" t="n">
        <x:v>116</x:v>
      </x:c>
      <x:c r="B117" s="36" t="str">
        <x:v>candidate_found</x:v>
      </x:c>
      <x:c r="C117" s="36" t="n">
        <x:v>2000</x:v>
      </x:c>
      <x:c r="D117" s="37" t="str">
        <x:v>Rah Digga</x:v>
      </x:c>
      <x:c r="E117" s="37" t="str">
        <x:v>Tight</x:v>
      </x:c>
      <x:c r="F117" s="37" t="str">
        <x:v>Tight</x:v>
      </x:c>
      <x:c r="G117" s="37" t="str">
        <x:v>Rah Digga</x:v>
      </x:c>
      <x:c r="H117" s="37" t="str">
        <x:v>2000-04-04</x:v>
      </x:c>
      <x:c r="I117" s="37" t="n">
        <x:v>0</x:v>
      </x:c>
      <x:c r="J117" s="37" t="str">
        <x:v>https://musicbrainz.org/recording/1f653804-8699-48f5-94f6-1a465f78b0ee</x:v>
      </x:c>
      <x:c r="K117" s="37" t="str">
        <x:v>https://musicbrainz.org/ws/2/recording/?query=recording%3A%22Tight%22+AND+artist%3A%22Rah+Digga%22&amp;fmt=json&amp;limit=8</x:v>
      </x:c>
      <x:c r="L117" s="37" t="str">
        <x:v>Candidate discovery only; does not verify the intended version</x:v>
      </x:c>
    </x:row>
    <x:row r="118">
      <x:c r="A118" s="36" t="n">
        <x:v>117</x:v>
      </x:c>
      <x:c r="B118" s="36" t="str">
        <x:v>candidate_found</x:v>
      </x:c>
      <x:c r="C118" s="36" t="n">
        <x:v>1998</x:v>
      </x:c>
      <x:c r="D118" s="37" t="str">
        <x:v>Gang Starr</x:v>
      </x:c>
      <x:c r="E118" s="37" t="str">
        <x:v>Moment of Truth</x:v>
      </x:c>
      <x:c r="F118" s="37" t="str">
        <x:v>Moment of Truth</x:v>
      </x:c>
      <x:c r="G118" s="37" t="str">
        <x:v>Gang Starr</x:v>
      </x:c>
      <x:c r="H118" s="37" t="str">
        <x:v>1998-03-31</x:v>
      </x:c>
      <x:c r="I118" s="37" t="n">
        <x:v>0</x:v>
      </x:c>
      <x:c r="J118" s="37" t="str">
        <x:v>https://musicbrainz.org/recording/5286d7f4-6855-4b0a-abfd-ec402d5ec83e</x:v>
      </x:c>
      <x:c r="K118" s="37" t="str">
        <x:v>https://musicbrainz.org/ws/2/recording/?query=recording%3A%22Moment+of+Truth%22+AND+artist%3A%22Gang+Starr%22&amp;fmt=json&amp;limit=8</x:v>
      </x:c>
      <x:c r="L118" s="37" t="str">
        <x:v>Candidate discovery only; does not verify the intended version</x:v>
      </x:c>
    </x:row>
    <x:row r="119">
      <x:c r="A119" s="36" t="n">
        <x:v>118</x:v>
      </x:c>
      <x:c r="B119" s="36" t="str">
        <x:v>candidate_found</x:v>
      </x:c>
      <x:c r="C119" s="36" t="n">
        <x:v>1996</x:v>
      </x:c>
      <x:c r="D119" s="37" t="str">
        <x:v>DJ Shadow</x:v>
      </x:c>
      <x:c r="E119" s="37" t="str">
        <x:v>Midnight in a Perfect World</x:v>
      </x:c>
      <x:c r="F119" s="37" t="str">
        <x:v>Midnight in a Perfect World</x:v>
      </x:c>
      <x:c r="G119" s="37" t="str">
        <x:v>DJ Shadow</x:v>
      </x:c>
      <x:c r="H119" s="37" t="str">
        <x:v>1997-10-30</x:v>
      </x:c>
      <x:c r="I119" s="37" t="n">
        <x:v>1</x:v>
      </x:c>
      <x:c r="J119" s="37" t="str">
        <x:v>https://musicbrainz.org/recording/c9ac422c-adc1-4411-86c2-9be463ec4b49</x:v>
      </x:c>
      <x:c r="K119" s="37" t="str">
        <x:v>https://musicbrainz.org/ws/2/recording/?query=recording%3A%22Midnight+in+a+Perfect+World%22+AND+artist%3A%22DJ+Shadow%22&amp;fmt=json&amp;limit=8</x:v>
      </x:c>
      <x:c r="L119" s="37" t="str">
        <x:v>Candidate discovery only; does not verify the intended version</x:v>
      </x:c>
    </x:row>
    <x:row r="120">
      <x:c r="A120" s="36" t="n">
        <x:v>119</x:v>
      </x:c>
      <x:c r="B120" s="36" t="str">
        <x:v>candidate_found</x:v>
      </x:c>
      <x:c r="C120" s="36" t="n">
        <x:v>1996</x:v>
      </x:c>
      <x:c r="D120" s="37" t="str">
        <x:v>Invisibl Skratch Piklz</x:v>
      </x:c>
      <x:c r="E120" s="37" t="str">
        <x:v>Invasion of the Octopus People</x:v>
      </x:c>
      <x:c r="F120" s="37" t="str">
        <x:v>Invasion of the Octopus People</x:v>
      </x:c>
      <x:c r="G120" s="37" t="str">
        <x:v>Invisibl Skratch Piklz</x:v>
      </x:c>
      <x:c r="H120" s="37" t="str">
        <x:v>1996-05-28</x:v>
      </x:c>
      <x:c r="I120" s="37" t="n">
        <x:v>0</x:v>
      </x:c>
      <x:c r="J120" s="37" t="str">
        <x:v>https://musicbrainz.org/recording/295ab76c-6e6b-4ba7-9281-233d84391f4d</x:v>
      </x:c>
      <x:c r="K120" s="37" t="str">
        <x:v>https://musicbrainz.org/ws/2/recording/?query=recording%3A%22Invasion+of+the+Octopus+People%22+AND+artist%3A%22Invisibl+Skratch+Piklz%22&amp;fmt=json&amp;limit=8</x:v>
      </x:c>
      <x:c r="L120" s="37" t="str">
        <x:v>Candidate discovery only; does not verify the intended version</x:v>
      </x:c>
    </x:row>
    <x:row r="121">
      <x:c r="A121" s="36" t="n">
        <x:v>120</x:v>
      </x:c>
      <x:c r="B121" s="36" t="str">
        <x:v>candidate_found</x:v>
      </x:c>
      <x:c r="C121" s="36" t="n">
        <x:v>1998</x:v>
      </x:c>
      <x:c r="D121" s="37" t="str">
        <x:v>DMX</x:v>
      </x:c>
      <x:c r="E121" s="37" t="str">
        <x:v>Ruff Ryders' Anthem</x:v>
      </x:c>
      <x:c r="F121" s="37" t="str">
        <x:v>Ruff Ryders’ Anthem</x:v>
      </x:c>
      <x:c r="G121" s="37" t="str">
        <x:v>DMX</x:v>
      </x:c>
      <x:c r="H121" s="37" t="str">
        <x:v>1998-04-11</x:v>
      </x:c>
      <x:c r="I121" s="37" t="n">
        <x:v>0</x:v>
      </x:c>
      <x:c r="J121" s="37" t="str">
        <x:v>https://musicbrainz.org/recording/028434cd-6f5f-4781-acc5-0c62d69249dc</x:v>
      </x:c>
      <x:c r="K121" s="37" t="str">
        <x:v>https://musicbrainz.org/ws/2/recording/?query=recording%3A%22Ruff+Ryders%27+Anthem%22+AND+artist%3A%22DMX%22&amp;fmt=json&amp;limit=8</x:v>
      </x:c>
      <x:c r="L121" s="37" t="str">
        <x:v>Candidate discovery only; does not verify the intended version</x:v>
      </x:c>
    </x:row>
    <x:row r="122">
      <x:c r="A122" s="36" t="n">
        <x:v>121</x:v>
      </x:c>
      <x:c r="B122" s="36" t="str">
        <x:v>candidate_found</x:v>
      </x:c>
      <x:c r="C122" s="36" t="n">
        <x:v>1998</x:v>
      </x:c>
      <x:c r="D122" s="37" t="str">
        <x:v>Outkast</x:v>
      </x:c>
      <x:c r="E122" s="37" t="str">
        <x:v>Rosa Parks</x:v>
      </x:c>
      <x:c r="F122" s="37" t="str">
        <x:v>Rosa Parks</x:v>
      </x:c>
      <x:c r="G122" s="37" t="str">
        <x:v>OutKast</x:v>
      </x:c>
      <x:c r="H122" s="37" t="str">
        <x:v>1998-09-28</x:v>
      </x:c>
      <x:c r="I122" s="37" t="n">
        <x:v>0</x:v>
      </x:c>
      <x:c r="J122" s="37" t="str">
        <x:v>https://musicbrainz.org/recording/36a71e33-e626-4233-9e6b-50585b91296b</x:v>
      </x:c>
      <x:c r="K122" s="37" t="str">
        <x:v>https://musicbrainz.org/ws/2/recording/?query=recording%3A%22Rosa+Parks%22+AND+artist%3A%22Outkast%22&amp;fmt=json&amp;limit=8</x:v>
      </x:c>
      <x:c r="L122" s="37" t="str">
        <x:v>Candidate discovery only; does not verify the intended version</x:v>
      </x:c>
    </x:row>
    <x:row r="123">
      <x:c r="A123" s="36" t="n">
        <x:v>122</x:v>
      </x:c>
      <x:c r="B123" s="36" t="str">
        <x:v>candidate_found</x:v>
      </x:c>
      <x:c r="C123" s="36" t="n">
        <x:v>1998</x:v>
      </x:c>
      <x:c r="D123" s="37" t="str">
        <x:v>Juvenile</x:v>
      </x:c>
      <x:c r="E123" s="37" t="str">
        <x:v>Ha</x:v>
      </x:c>
      <x:c r="F123" s="37" t="str">
        <x:v>Ha</x:v>
      </x:c>
      <x:c r="G123" s="37" t="str">
        <x:v>Juvenile</x:v>
      </x:c>
      <x:c r="H123" s="37" t="str">
        <x:v>1998-11-03</x:v>
      </x:c>
      <x:c r="I123" s="37" t="n">
        <x:v>0</x:v>
      </x:c>
      <x:c r="J123" s="37" t="str">
        <x:v>https://musicbrainz.org/recording/062e3ca3-1807-4bea-97f6-08afcf1ef10f</x:v>
      </x:c>
      <x:c r="K123" s="37" t="str">
        <x:v>https://musicbrainz.org/ws/2/recording/?query=recording%3A%22Ha%22+AND+artist%3A%22Juvenile%22&amp;fmt=json&amp;limit=8</x:v>
      </x:c>
      <x:c r="L123" s="37" t="str">
        <x:v>Candidate discovery only; does not verify the intended version</x:v>
      </x:c>
    </x:row>
    <x:row r="124">
      <x:c r="A124" s="36" t="n">
        <x:v>123</x:v>
      </x:c>
      <x:c r="B124" s="36" t="str">
        <x:v>candidate_found</x:v>
      </x:c>
      <x:c r="C124" s="36" t="n">
        <x:v>1997</x:v>
      </x:c>
      <x:c r="D124" s="37" t="str">
        <x:v>Master P featuring Fiend Mia X Mystikal and Silkk the Shocker</x:v>
      </x:c>
      <x:c r="E124" s="37" t="str">
        <x:v>Make 'Em Say Uhh!</x:v>
      </x:c>
      <x:c r="F124" s="37" t="str">
        <x:v>Make Em Say Uhh!</x:v>
      </x:c>
      <x:c r="G124" s="37" t="str">
        <x:v>Master P</x:v>
      </x:c>
      <x:c r="H124" s="37" t="str">
        <x:v>1999-09-28</x:v>
      </x:c>
      <x:c r="I124" s="37" t="n">
        <x:v>2</x:v>
      </x:c>
      <x:c r="J124" s="37" t="str">
        <x:v>https://musicbrainz.org/recording/1f04f127-9821-49ba-af09-65813dab8619</x:v>
      </x:c>
      <x:c r="K124" s="37" t="str">
        <x:v>https://musicbrainz.org/ws/2/recording/?query=recording%3A%22Make+%27Em+Say+Uhh%21%22+AND+artist%3A%22Master+P%22&amp;fmt=json&amp;limit=8</x:v>
      </x:c>
      <x:c r="L124" s="37" t="str">
        <x:v>Candidate discovery only; does not verify the intended version</x:v>
      </x:c>
    </x:row>
    <x:row r="125">
      <x:c r="A125" s="36" t="n">
        <x:v>124</x:v>
      </x:c>
      <x:c r="B125" s="36" t="str">
        <x:v>candidate_found</x:v>
      </x:c>
      <x:c r="C125" s="36" t="n">
        <x:v>1997</x:v>
      </x:c>
      <x:c r="D125" s="37" t="str">
        <x:v>IAM</x:v>
      </x:c>
      <x:c r="E125" s="37" t="str">
        <x:v>Demain c'est loin</x:v>
      </x:c>
      <x:c r="F125" s="37" t="str">
        <x:v>Demain, c’est loin</x:v>
      </x:c>
      <x:c r="G125" s="37" t="str">
        <x:v>IAM</x:v>
      </x:c>
      <x:c r="H125" s="37" t="str">
        <x:v>1997-03-18</x:v>
      </x:c>
      <x:c r="I125" s="37" t="n">
        <x:v>0</x:v>
      </x:c>
      <x:c r="J125" s="37" t="str">
        <x:v>https://musicbrainz.org/recording/f1e5c309-cbf9-41a1-841f-9b166ed01176</x:v>
      </x:c>
      <x:c r="K125" s="37" t="str">
        <x:v>https://musicbrainz.org/ws/2/recording/?query=recording%3A%22Demain+c%27est+loin%22+AND+artist%3A%22IAM%22&amp;fmt=json&amp;limit=8</x:v>
      </x:c>
      <x:c r="L125" s="37" t="str">
        <x:v>Candidate discovery only; does not verify the intended version</x:v>
      </x:c>
    </x:row>
    <x:row r="126">
      <x:c r="A126" s="36" t="n">
        <x:v>125</x:v>
      </x:c>
      <x:c r="B126" s="36" t="str">
        <x:v>candidate_found</x:v>
      </x:c>
      <x:c r="C126" s="36" t="n">
        <x:v>1997</x:v>
      </x:c>
      <x:c r="D126" s="37" t="str">
        <x:v>Control Machete</x:v>
      </x:c>
      <x:c r="E126" s="37" t="str">
        <x:v>¿Comprendes Mendes?</x:v>
      </x:c>
      <x:c r="F126" s="37" t="str">
        <x:v>Comprendes, Mendes?</x:v>
      </x:c>
      <x:c r="G126" s="37" t="str">
        <x:v>Control Machete</x:v>
      </x:c>
      <x:c r="H126" s="37" t="str">
        <x:v>1997</x:v>
      </x:c>
      <x:c r="I126" s="37" t="n">
        <x:v>0</x:v>
      </x:c>
      <x:c r="J126" s="37" t="str">
        <x:v>https://musicbrainz.org/recording/27d6059e-3ece-4cb7-ae99-008525c0e0d3</x:v>
      </x:c>
      <x:c r="K126" s="37" t="str">
        <x:v>https://musicbrainz.org/ws/2/recording/?query=recording%3A%22%C2%BFComprendes+Mendes%3F%22+AND+artist%3A%22Control+Machete%22&amp;fmt=json&amp;limit=8</x:v>
      </x:c>
      <x:c r="L126" s="37" t="str">
        <x:v>Candidate discovery only; does not verify the intended version</x:v>
      </x:c>
    </x:row>
    <x:row r="127">
      <x:c r="A127" s="36" t="n">
        <x:v>126</x:v>
      </x:c>
      <x:c r="B127" s="36" t="str">
        <x:v>candidate_found</x:v>
      </x:c>
      <x:c r="C127" s="36" t="n">
        <x:v>1997</x:v>
      </x:c>
      <x:c r="D127" s="37" t="str">
        <x:v>Racionais MC's</x:v>
      </x:c>
      <x:c r="E127" s="37" t="str">
        <x:v>Diário de um Detento</x:v>
      </x:c>
      <x:c r="F127" s="37" t="str">
        <x:v>Diário de um detento</x:v>
      </x:c>
      <x:c r="G127" s="37" t="str">
        <x:v>Racionais MC’s</x:v>
      </x:c>
      <x:c r="H127" s="37" t="str">
        <x:v>1997</x:v>
      </x:c>
      <x:c r="I127" s="37" t="n">
        <x:v>0</x:v>
      </x:c>
      <x:c r="J127" s="37" t="str">
        <x:v>https://musicbrainz.org/recording/dbc666ac-c002-41c9-ad55-be873427ab63</x:v>
      </x:c>
      <x:c r="K127" s="37" t="str">
        <x:v>https://musicbrainz.org/ws/2/recording/?query=recording%3A%22Di%C3%A1rio+de+um+Detento%22+AND+artist%3A%22Racionais+MC%27s%22&amp;fmt=json&amp;limit=8</x:v>
      </x:c>
      <x:c r="L127" s="37" t="str">
        <x:v>Candidate discovery only; does not verify the intended version</x:v>
      </x:c>
    </x:row>
    <x:row r="128">
      <x:c r="A128" s="36" t="n">
        <x:v>127</x:v>
      </x:c>
      <x:c r="B128" s="36" t="str">
        <x:v>candidate_found</x:v>
      </x:c>
      <x:c r="C128" s="36" t="n">
        <x:v>1999</x:v>
      </x:c>
      <x:c r="D128" s="37" t="str">
        <x:v>Roots Manuva</x:v>
      </x:c>
      <x:c r="E128" s="37" t="str">
        <x:v>Juggle Tings Proper</x:v>
      </x:c>
      <x:c r="F128" s="37" t="str">
        <x:v>Juggle Tings Proper</x:v>
      </x:c>
      <x:c r="G128" s="37" t="str">
        <x:v>Roots Manuva</x:v>
      </x:c>
      <x:c r="H128" s="37" t="str">
        <x:v>1999-02-01</x:v>
      </x:c>
      <x:c r="I128" s="37" t="n">
        <x:v>0</x:v>
      </x:c>
      <x:c r="J128" s="37" t="str">
        <x:v>https://musicbrainz.org/recording/c4035931-de17-4efe-8911-996912cbeee1</x:v>
      </x:c>
      <x:c r="K128" s="37" t="str">
        <x:v>https://musicbrainz.org/ws/2/recording/?query=recording%3A%22Juggle+Tings+Proper%22+AND+artist%3A%22Roots+Manuva%22&amp;fmt=json&amp;limit=8</x:v>
      </x:c>
      <x:c r="L128" s="37" t="str">
        <x:v>Candidate discovery only; does not verify the intended version</x:v>
      </x:c>
    </x:row>
    <x:row r="129">
      <x:c r="A129" s="36" t="n">
        <x:v>128</x:v>
      </x:c>
      <x:c r="B129" s="36" t="str">
        <x:v>no_candidate</x:v>
      </x:c>
      <x:c r="C129" s="36" t="n">
        <x:v>1997</x:v>
      </x:c>
      <x:c r="D129" s="37" t="str">
        <x:v>Positive Black Soul</x:v>
      </x:c>
      <x:c r="E129" s="37" t="str">
        <x:v>New York / Dakar</x:v>
      </x:c>
      <x:c r="F129" s="37" t="str"/>
      <x:c r="G129" s="37" t="str"/>
      <x:c r="H129" s="37" t="str"/>
      <x:c r="I129" s="37"/>
      <x:c r="J129" s="37" t="str"/>
      <x:c r="K129" s="37" t="str">
        <x:v>https://musicbrainz.org/ws/2/recording/?query=recording%3A%22New+York+%2F+Dakar%22+AND+artist%3A%22Positive+Black+Soul%22&amp;fmt=json&amp;limit=8</x:v>
      </x:c>
      <x:c r="L129" s="37" t="str">
        <x:v>Candidate discovery only; does not verify the intended version</x:v>
      </x:c>
    </x:row>
    <x:row r="130">
      <x:c r="A130" s="36" t="n">
        <x:v>129</x:v>
      </x:c>
      <x:c r="B130" s="36" t="str">
        <x:v>candidate_found</x:v>
      </x:c>
      <x:c r="C130" s="36" t="n">
        <x:v>2001</x:v>
      </x:c>
      <x:c r="D130" s="37" t="str">
        <x:v>Jay-Z</x:v>
      </x:c>
      <x:c r="E130" s="37" t="str">
        <x:v>U Don't Know</x:v>
      </x:c>
      <x:c r="F130" s="37" t="str">
        <x:v>U Don’t Know</x:v>
      </x:c>
      <x:c r="G130" s="37" t="str">
        <x:v>Jay‐Z</x:v>
      </x:c>
      <x:c r="H130" s="37" t="str">
        <x:v>2001-09-11</x:v>
      </x:c>
      <x:c r="I130" s="37" t="n">
        <x:v>0</x:v>
      </x:c>
      <x:c r="J130" s="37" t="str">
        <x:v>https://musicbrainz.org/recording/bd8fb145-3998-4ff3-965e-f82fbe6d4782</x:v>
      </x:c>
      <x:c r="K130" s="37" t="str">
        <x:v>https://musicbrainz.org/ws/2/recording/?query=recording%3A%22U+Don%27t+Know%22+AND+artist%3A%22Jay-Z%22&amp;fmt=json&amp;limit=8</x:v>
      </x:c>
      <x:c r="L130" s="37" t="str">
        <x:v>Candidate discovery only; does not verify the intended version</x:v>
      </x:c>
    </x:row>
    <x:row r="131">
      <x:c r="A131" s="36" t="n">
        <x:v>130</x:v>
      </x:c>
      <x:c r="B131" s="36" t="str">
        <x:v>candidate_found</x:v>
      </x:c>
      <x:c r="C131" s="36" t="n">
        <x:v>2002</x:v>
      </x:c>
      <x:c r="D131" s="37" t="str">
        <x:v>Clipse</x:v>
      </x:c>
      <x:c r="E131" s="37" t="str">
        <x:v>Grindin'</x:v>
      </x:c>
      <x:c r="F131" s="37" t="str">
        <x:v>Grindin'</x:v>
      </x:c>
      <x:c r="G131" s="37" t="str">
        <x:v>Clipse</x:v>
      </x:c>
      <x:c r="H131" s="37" t="str">
        <x:v>2002</x:v>
      </x:c>
      <x:c r="I131" s="37" t="n">
        <x:v>0</x:v>
      </x:c>
      <x:c r="J131" s="37" t="str">
        <x:v>https://musicbrainz.org/recording/8808c20c-100d-49e8-ad7a-f9a1992ffbe7</x:v>
      </x:c>
      <x:c r="K131" s="37" t="str">
        <x:v>https://musicbrainz.org/ws/2/recording/?query=recording%3A%22Grindin%27%22+AND+artist%3A%22Clipse%22&amp;fmt=json&amp;limit=8</x:v>
      </x:c>
      <x:c r="L131" s="37" t="str">
        <x:v>Candidate discovery only; does not verify the intended version</x:v>
      </x:c>
    </x:row>
    <x:row r="132">
      <x:c r="A132" s="36" t="n">
        <x:v>131</x:v>
      </x:c>
      <x:c r="B132" s="36" t="str">
        <x:v>candidate_found</x:v>
      </x:c>
      <x:c r="C132" s="36" t="n">
        <x:v>2002</x:v>
      </x:c>
      <x:c r="D132" s="37" t="str">
        <x:v>Missy Elliott</x:v>
      </x:c>
      <x:c r="E132" s="37" t="str">
        <x:v>Work It</x:v>
      </x:c>
      <x:c r="F132" s="37" t="str">
        <x:v>Work It</x:v>
      </x:c>
      <x:c r="G132" s="37" t="str">
        <x:v>Missy Elliott</x:v>
      </x:c>
      <x:c r="H132" s="37" t="str">
        <x:v>2002-12-06</x:v>
      </x:c>
      <x:c r="I132" s="37" t="n">
        <x:v>0</x:v>
      </x:c>
      <x:c r="J132" s="37" t="str">
        <x:v>https://musicbrainz.org/recording/1983d92a-e381-4d88-991d-651f162bbbee</x:v>
      </x:c>
      <x:c r="K132" s="37" t="str">
        <x:v>https://musicbrainz.org/ws/2/recording/?query=recording%3A%22Work+It%22+AND+artist%3A%22Missy+Elliott%22&amp;fmt=json&amp;limit=8</x:v>
      </x:c>
      <x:c r="L132" s="37" t="str">
        <x:v>Candidate discovery only; does not verify the intended version</x:v>
      </x:c>
    </x:row>
    <x:row r="133">
      <x:c r="A133" s="36" t="n">
        <x:v>132</x:v>
      </x:c>
      <x:c r="B133" s="36" t="str">
        <x:v>candidate_found</x:v>
      </x:c>
      <x:c r="C133" s="36" t="n">
        <x:v>2002</x:v>
      </x:c>
      <x:c r="D133" s="37" t="str">
        <x:v>Lil Jon &amp; the East Side Boyz featuring Ying Yang Twins</x:v>
      </x:c>
      <x:c r="E133" s="37" t="str">
        <x:v>Get Low</x:v>
      </x:c>
      <x:c r="F133" s="37" t="str">
        <x:v>Get Low</x:v>
      </x:c>
      <x:c r="G133" s="37" t="str">
        <x:v>Lil Jon &amp; The East Side Boyz</x:v>
      </x:c>
      <x:c r="H133" s="37" t="str">
        <x:v>2005</x:v>
      </x:c>
      <x:c r="I133" s="37" t="n">
        <x:v>3</x:v>
      </x:c>
      <x:c r="J133" s="37" t="str">
        <x:v>https://musicbrainz.org/recording/673144db-70f0-45f0-835b-23e0bca883c5</x:v>
      </x:c>
      <x:c r="K133" s="37" t="str">
        <x:v>https://musicbrainz.org/ws/2/recording/?query=recording%3A%22Get+Low%22+AND+artist%3A%22Lil+Jon+%26+the+East+Side+Boyz%22&amp;fmt=json&amp;limit=8</x:v>
      </x:c>
      <x:c r="L133" s="37" t="str">
        <x:v>Candidate discovery only; does not verify the intended version</x:v>
      </x:c>
    </x:row>
    <x:row r="134">
      <x:c r="A134" s="36" t="n">
        <x:v>133</x:v>
      </x:c>
      <x:c r="B134" s="36" t="str">
        <x:v>candidate_found</x:v>
      </x:c>
      <x:c r="C134" s="36" t="n">
        <x:v>2003</x:v>
      </x:c>
      <x:c r="D134" s="37" t="str">
        <x:v>T.I.</x:v>
      </x:c>
      <x:c r="E134" s="37" t="str">
        <x:v>24's</x:v>
      </x:c>
      <x:c r="F134" s="37" t="str">
        <x:v>24's</x:v>
      </x:c>
      <x:c r="G134" s="37" t="str">
        <x:v>T.I.</x:v>
      </x:c>
      <x:c r="H134" s="37" t="str">
        <x:v>2003-11-17</x:v>
      </x:c>
      <x:c r="I134" s="37" t="n">
        <x:v>0</x:v>
      </x:c>
      <x:c r="J134" s="37" t="str">
        <x:v>https://musicbrainz.org/recording/dfb49440-34b9-4d54-8284-86ce6b8fe7c8</x:v>
      </x:c>
      <x:c r="K134" s="37" t="str">
        <x:v>https://musicbrainz.org/ws/2/recording/?query=recording%3A%2224%27s%22+AND+artist%3A%22T.I.%22&amp;fmt=json&amp;limit=8</x:v>
      </x:c>
      <x:c r="L134" s="37" t="str">
        <x:v>Candidate discovery only; does not verify the intended version</x:v>
      </x:c>
    </x:row>
    <x:row r="135">
      <x:c r="A135" s="36" t="n">
        <x:v>134</x:v>
      </x:c>
      <x:c r="B135" s="36" t="str">
        <x:v>candidate_found</x:v>
      </x:c>
      <x:c r="C135" s="36" t="n">
        <x:v>2005</x:v>
      </x:c>
      <x:c r="D135" s="37" t="str">
        <x:v>Young Jeezy featuring Jay-Z</x:v>
      </x:c>
      <x:c r="E135" s="37" t="str">
        <x:v>Go Crazy</x:v>
      </x:c>
      <x:c r="F135" s="37" t="str">
        <x:v>Go Crazy</x:v>
      </x:c>
      <x:c r="G135" s="37" t="str">
        <x:v>Young Jeezy</x:v>
      </x:c>
      <x:c r="H135" s="37" t="str">
        <x:v>2005-07-25</x:v>
      </x:c>
      <x:c r="I135" s="37" t="n">
        <x:v>0</x:v>
      </x:c>
      <x:c r="J135" s="37" t="str">
        <x:v>https://musicbrainz.org/recording/a186ae14-b36d-4b6b-89ac-136283657f10</x:v>
      </x:c>
      <x:c r="K135" s="37" t="str">
        <x:v>https://musicbrainz.org/ws/2/recording/?query=recording%3A%22Go+Crazy%22+AND+artist%3A%22Young+Jeezy%22&amp;fmt=json&amp;limit=8</x:v>
      </x:c>
      <x:c r="L135" s="37" t="str">
        <x:v>Candidate discovery only; does not verify the intended version</x:v>
      </x:c>
    </x:row>
    <x:row r="136">
      <x:c r="A136" s="36" t="n">
        <x:v>135</x:v>
      </x:c>
      <x:c r="B136" s="36" t="str">
        <x:v>candidate_found</x:v>
      </x:c>
      <x:c r="C136" s="36" t="n">
        <x:v>2005</x:v>
      </x:c>
      <x:c r="D136" s="37" t="str">
        <x:v>Gucci Mane</x:v>
      </x:c>
      <x:c r="E136" s="37" t="str">
        <x:v>Trap House</x:v>
      </x:c>
      <x:c r="F136" s="37" t="str">
        <x:v>Trap House</x:v>
      </x:c>
      <x:c r="G136" s="37" t="str">
        <x:v>Gucci Mane</x:v>
      </x:c>
      <x:c r="H136" s="37" t="str">
        <x:v>2005-05-24</x:v>
      </x:c>
      <x:c r="I136" s="37" t="n">
        <x:v>0</x:v>
      </x:c>
      <x:c r="J136" s="37" t="str">
        <x:v>https://musicbrainz.org/recording/d2ec3a2c-1b98-40ac-8448-5d2724238da3</x:v>
      </x:c>
      <x:c r="K136" s="37" t="str">
        <x:v>https://musicbrainz.org/ws/2/recording/?query=recording%3A%22Trap+House%22+AND+artist%3A%22Gucci+Mane%22&amp;fmt=json&amp;limit=8</x:v>
      </x:c>
      <x:c r="L136" s="37" t="str">
        <x:v>Candidate discovery only; does not verify the intended version</x:v>
      </x:c>
    </x:row>
    <x:row r="137">
      <x:c r="A137" s="36" t="n">
        <x:v>136</x:v>
      </x:c>
      <x:c r="B137" s="36" t="str">
        <x:v>candidate_found</x:v>
      </x:c>
      <x:c r="C137" s="36" t="n">
        <x:v>2005</x:v>
      </x:c>
      <x:c r="D137" s="37" t="str">
        <x:v>Lil Wayne</x:v>
      </x:c>
      <x:c r="E137" s="37" t="str">
        <x:v>Tha Mobb</x:v>
      </x:c>
      <x:c r="F137" s="37" t="str">
        <x:v>Tha Mobb</x:v>
      </x:c>
      <x:c r="G137" s="37" t="str">
        <x:v>Lil Wayne</x:v>
      </x:c>
      <x:c r="H137" s="37" t="str">
        <x:v>2005-12-06</x:v>
      </x:c>
      <x:c r="I137" s="37" t="n">
        <x:v>0</x:v>
      </x:c>
      <x:c r="J137" s="37" t="str">
        <x:v>https://musicbrainz.org/recording/c863c7d0-2806-4249-8c2c-a2e41c19785a</x:v>
      </x:c>
      <x:c r="K137" s="37" t="str">
        <x:v>https://musicbrainz.org/ws/2/recording/?query=recording%3A%22Tha+Mobb%22+AND+artist%3A%22Lil+Wayne%22&amp;fmt=json&amp;limit=8</x:v>
      </x:c>
      <x:c r="L137" s="37" t="str">
        <x:v>Candidate discovery only; does not verify the intended version</x:v>
      </x:c>
    </x:row>
    <x:row r="138">
      <x:c r="A138" s="36" t="n">
        <x:v>137</x:v>
      </x:c>
      <x:c r="B138" s="36" t="str">
        <x:v>request_error</x:v>
      </x:c>
      <x:c r="C138" s="36" t="n">
        <x:v>2002</x:v>
      </x:c>
      <x:c r="D138" s="37" t="str">
        <x:v>Cam'ron</x:v>
      </x:c>
      <x:c r="E138" s="37" t="str">
        <x:v>I Really Mean It</x:v>
      </x:c>
      <x:c r="F138" s="37" t="str"/>
      <x:c r="G138" s="37" t="str"/>
      <x:c r="H138" s="37" t="str"/>
      <x:c r="I138" s="37"/>
      <x:c r="J138" s="37" t="str"/>
      <x:c r="K138" s="37" t="str">
        <x:v>https://musicbrainz.org/ws/2/recording/?query=recording%3A%22I+Really+Mean+It%22+AND+artist%3A%22Cam%27ron%22&amp;fmt=json&amp;limit=8</x:v>
      </x:c>
      <x:c r="L138" s="37" t="str">
        <x:v>Candidate discovery only; does not verify the intended version</x:v>
      </x:c>
    </x:row>
    <x:row r="139">
      <x:c r="A139" s="36" t="n">
        <x:v>138</x:v>
      </x:c>
      <x:c r="B139" s="36" t="str">
        <x:v>candidate_found</x:v>
      </x:c>
      <x:c r="C139" s="36" t="n">
        <x:v>2002</x:v>
      </x:c>
      <x:c r="D139" s="37" t="str">
        <x:v>Jean Grae</x:v>
      </x:c>
      <x:c r="E139" s="37" t="str">
        <x:v>Hater's Anthem</x:v>
      </x:c>
      <x:c r="F139" s="37" t="str">
        <x:v>Hater's Anthem</x:v>
      </x:c>
      <x:c r="G139" s="37" t="str">
        <x:v>Jean Grae</x:v>
      </x:c>
      <x:c r="H139" s="37" t="str">
        <x:v>2003-10-07</x:v>
      </x:c>
      <x:c r="I139" s="37" t="n">
        <x:v>1</x:v>
      </x:c>
      <x:c r="J139" s="37" t="str">
        <x:v>https://musicbrainz.org/recording/f6a42805-2deb-4abb-97e5-517d89a4b02b</x:v>
      </x:c>
      <x:c r="K139" s="37" t="str">
        <x:v>https://musicbrainz.org/ws/2/recording/?query=recording%3A%22Hater%27s+Anthem%22+AND+artist%3A%22Jean+Grae%22&amp;fmt=json&amp;limit=8</x:v>
      </x:c>
      <x:c r="L139" s="37" t="str">
        <x:v>Candidate discovery only; does not verify the intended version</x:v>
      </x:c>
    </x:row>
    <x:row r="140">
      <x:c r="A140" s="36" t="n">
        <x:v>139</x:v>
      </x:c>
      <x:c r="B140" s="36" t="str">
        <x:v>candidate_found</x:v>
      </x:c>
      <x:c r="C140" s="36" t="n">
        <x:v>2003</x:v>
      </x:c>
      <x:c r="D140" s="37" t="str">
        <x:v>50 Cent</x:v>
      </x:c>
      <x:c r="E140" s="37" t="str">
        <x:v>Many Men (Wish Death)</x:v>
      </x:c>
      <x:c r="F140" s="37" t="str">
        <x:v>Many Men (Wish Death)</x:v>
      </x:c>
      <x:c r="G140" s="37" t="str">
        <x:v>50 Cent</x:v>
      </x:c>
      <x:c r="H140" s="37" t="str">
        <x:v>2003-02-04</x:v>
      </x:c>
      <x:c r="I140" s="37" t="n">
        <x:v>0</x:v>
      </x:c>
      <x:c r="J140" s="37" t="str">
        <x:v>https://musicbrainz.org/recording/d0c086e4-da1e-4cfe-a9f4-b538a09ec40d</x:v>
      </x:c>
      <x:c r="K140" s="37" t="str">
        <x:v>https://musicbrainz.org/ws/2/recording/?query=recording%3A%22Many+Men+%28Wish+Death%29%22+AND+artist%3A%2250+Cent%22&amp;fmt=json&amp;limit=8</x:v>
      </x:c>
      <x:c r="L140" s="37" t="str">
        <x:v>Candidate discovery only; does not verify the intended version</x:v>
      </x:c>
    </x:row>
    <x:row r="141">
      <x:c r="A141" s="36" t="n">
        <x:v>140</x:v>
      </x:c>
      <x:c r="B141" s="36" t="str">
        <x:v>candidate_found</x:v>
      </x:c>
      <x:c r="C141" s="36" t="n">
        <x:v>2004</x:v>
      </x:c>
      <x:c r="D141" s="37" t="str">
        <x:v>Kanye West</x:v>
      </x:c>
      <x:c r="E141" s="37" t="str">
        <x:v>Jesus Walks</x:v>
      </x:c>
      <x:c r="F141" s="37" t="str">
        <x:v>Jesus Walks</x:v>
      </x:c>
      <x:c r="G141" s="37" t="str">
        <x:v>Kanye West</x:v>
      </x:c>
      <x:c r="H141" s="37" t="str">
        <x:v>2004-01-01</x:v>
      </x:c>
      <x:c r="I141" s="37" t="n">
        <x:v>0</x:v>
      </x:c>
      <x:c r="J141" s="37" t="str">
        <x:v>https://musicbrainz.org/recording/3503de11-fefe-489c-81ac-ef7c9b7ab282</x:v>
      </x:c>
      <x:c r="K141" s="37" t="str">
        <x:v>https://musicbrainz.org/ws/2/recording/?query=recording%3A%22Jesus+Walks%22+AND+artist%3A%22Kanye+West%22&amp;fmt=json&amp;limit=8</x:v>
      </x:c>
      <x:c r="L141" s="37" t="str">
        <x:v>Candidate discovery only; does not verify the intended version</x:v>
      </x:c>
    </x:row>
    <x:row r="142">
      <x:c r="A142" s="36" t="n">
        <x:v>141</x:v>
      </x:c>
      <x:c r="B142" s="36" t="str">
        <x:v>candidate_found</x:v>
      </x:c>
      <x:c r="C142" s="36" t="n">
        <x:v>2002</x:v>
      </x:c>
      <x:c r="D142" s="37" t="str">
        <x:v>Tego Calderón</x:v>
      </x:c>
      <x:c r="E142" s="37" t="str">
        <x:v>Pa' Que Retozen</x:v>
      </x:c>
      <x:c r="F142" s="37" t="str">
        <x:v>Pa’ que retozen</x:v>
      </x:c>
      <x:c r="G142" s="37" t="str">
        <x:v>Tego Calderón</x:v>
      </x:c>
      <x:c r="H142" s="37" t="str">
        <x:v>2003-06-17</x:v>
      </x:c>
      <x:c r="I142" s="37" t="n">
        <x:v>1</x:v>
      </x:c>
      <x:c r="J142" s="37" t="str">
        <x:v>https://musicbrainz.org/recording/e536e3d9-4414-40cb-bf64-7e167adc694d</x:v>
      </x:c>
      <x:c r="K142" s="37" t="str">
        <x:v>https://musicbrainz.org/ws/2/recording/?query=recording%3A%22Pa%27+Que+Retozen%22+AND+artist%3A%22Tego+Calder%C3%B3n%22&amp;fmt=json&amp;limit=8</x:v>
      </x:c>
      <x:c r="L142" s="37" t="str">
        <x:v>Candidate discovery only; does not verify the intended version</x:v>
      </x:c>
    </x:row>
    <x:row r="143">
      <x:c r="A143" s="36" t="n">
        <x:v>142</x:v>
      </x:c>
      <x:c r="B143" s="36" t="str">
        <x:v>candidate_found</x:v>
      </x:c>
      <x:c r="C143" s="36" t="n">
        <x:v>2004</x:v>
      </x:c>
      <x:c r="D143" s="37" t="str">
        <x:v>Madvillain</x:v>
      </x:c>
      <x:c r="E143" s="37" t="str">
        <x:v>Accordion</x:v>
      </x:c>
      <x:c r="F143" s="37" t="str">
        <x:v>Accordion</x:v>
      </x:c>
      <x:c r="G143" s="37" t="str">
        <x:v>Madvillain</x:v>
      </x:c>
      <x:c r="H143" s="37" t="str">
        <x:v>2004</x:v>
      </x:c>
      <x:c r="I143" s="37" t="n">
        <x:v>0</x:v>
      </x:c>
      <x:c r="J143" s="37" t="str">
        <x:v>https://musicbrainz.org/recording/8943ece1-0763-4a9d-8414-ab4f58c40d1b</x:v>
      </x:c>
      <x:c r="K143" s="37" t="str">
        <x:v>https://musicbrainz.org/ws/2/recording/?query=recording%3A%22Accordion%22+AND+artist%3A%22Madvillain%22&amp;fmt=json&amp;limit=8</x:v>
      </x:c>
      <x:c r="L143" s="37" t="str">
        <x:v>Candidate discovery only; does not verify the intended version</x:v>
      </x:c>
    </x:row>
    <x:row r="144">
      <x:c r="A144" s="36" t="n">
        <x:v>143</x:v>
      </x:c>
      <x:c r="B144" s="36" t="str">
        <x:v>candidate_found</x:v>
      </x:c>
      <x:c r="C144" s="36" t="n">
        <x:v>2006</x:v>
      </x:c>
      <x:c r="D144" s="37" t="str">
        <x:v>J Dilla</x:v>
      </x:c>
      <x:c r="E144" s="37" t="str">
        <x:v>Time: The Donut of the Heart</x:v>
      </x:c>
      <x:c r="F144" s="37" t="str">
        <x:v>Time: The Donut of the Heart</x:v>
      </x:c>
      <x:c r="G144" s="37" t="str">
        <x:v>J Dilla</x:v>
      </x:c>
      <x:c r="H144" s="37" t="str">
        <x:v>2006-02-07</x:v>
      </x:c>
      <x:c r="I144" s="37" t="n">
        <x:v>0</x:v>
      </x:c>
      <x:c r="J144" s="37" t="str">
        <x:v>https://musicbrainz.org/recording/567671b0-53f8-4314-91bc-fae87cd0197b</x:v>
      </x:c>
      <x:c r="K144" s="37" t="str">
        <x:v>https://musicbrainz.org/ws/2/recording/?query=recording%3A%22Time%3A+The+Donut+of+the+Heart%22+AND+artist%3A%22J+Dilla%22&amp;fmt=json&amp;limit=8</x:v>
      </x:c>
      <x:c r="L144" s="37" t="str">
        <x:v>Candidate discovery only; does not verify the intended version</x:v>
      </x:c>
    </x:row>
    <x:row r="145">
      <x:c r="A145" s="36" t="n">
        <x:v>144</x:v>
      </x:c>
      <x:c r="B145" s="36" t="str">
        <x:v>candidate_found</x:v>
      </x:c>
      <x:c r="C145" s="36" t="n">
        <x:v>2005</x:v>
      </x:c>
      <x:c r="D145" s="37" t="str">
        <x:v>Little Brother</x:v>
      </x:c>
      <x:c r="E145" s="37" t="str">
        <x:v>Lovin' It</x:v>
      </x:c>
      <x:c r="F145" s="37" t="str">
        <x:v>Lovin' It</x:v>
      </x:c>
      <x:c r="G145" s="37" t="str">
        <x:v>Little Brother</x:v>
      </x:c>
      <x:c r="H145" s="37" t="str">
        <x:v>2005</x:v>
      </x:c>
      <x:c r="I145" s="37" t="n">
        <x:v>0</x:v>
      </x:c>
      <x:c r="J145" s="37" t="str">
        <x:v>https://musicbrainz.org/recording/4ea2e58f-afa3-4d39-8ace-1b98845f12cd</x:v>
      </x:c>
      <x:c r="K145" s="37" t="str">
        <x:v>https://musicbrainz.org/ws/2/recording/?query=recording%3A%22Lovin%27+It%22+AND+artist%3A%22Little+Brother%22&amp;fmt=json&amp;limit=8</x:v>
      </x:c>
      <x:c r="L145" s="37" t="str">
        <x:v>Candidate discovery only; does not verify the intended version</x:v>
      </x:c>
    </x:row>
    <x:row r="146">
      <x:c r="A146" s="36" t="n">
        <x:v>145</x:v>
      </x:c>
      <x:c r="B146" s="36" t="str">
        <x:v>candidate_found</x:v>
      </x:c>
      <x:c r="C146" s="36" t="n">
        <x:v>2003</x:v>
      </x:c>
      <x:c r="D146" s="37" t="str">
        <x:v>M.I.A.</x:v>
      </x:c>
      <x:c r="E146" s="37" t="str">
        <x:v>Galang</x:v>
      </x:c>
      <x:c r="F146" s="37" t="str">
        <x:v>Galang</x:v>
      </x:c>
      <x:c r="G146" s="37" t="str">
        <x:v>M.I.A.</x:v>
      </x:c>
      <x:c r="H146" s="37" t="str">
        <x:v>2004-11-01</x:v>
      </x:c>
      <x:c r="I146" s="37" t="n">
        <x:v>1</x:v>
      </x:c>
      <x:c r="J146" s="37" t="str">
        <x:v>https://musicbrainz.org/recording/f5f75ffa-c897-4c86-a4ac-405d7145b848</x:v>
      </x:c>
      <x:c r="K146" s="37" t="str">
        <x:v>https://musicbrainz.org/ws/2/recording/?query=recording%3A%22Galang%22+AND+artist%3A%22M.I.A.%22&amp;fmt=json&amp;limit=8</x:v>
      </x:c>
      <x:c r="L146" s="37" t="str">
        <x:v>Candidate discovery only; does not verify the intended version</x:v>
      </x:c>
    </x:row>
    <x:row r="147">
      <x:c r="A147" s="36" t="n">
        <x:v>146</x:v>
      </x:c>
      <x:c r="B147" s="36" t="str">
        <x:v>candidate_found</x:v>
      </x:c>
      <x:c r="C147" s="36" t="n">
        <x:v>2003</x:v>
      </x:c>
      <x:c r="D147" s="37" t="str">
        <x:v>Dizzee Rascal</x:v>
      </x:c>
      <x:c r="E147" s="37" t="str">
        <x:v>I Luv U</x:v>
      </x:c>
      <x:c r="F147" s="37" t="str">
        <x:v>I Luv U</x:v>
      </x:c>
      <x:c r="G147" s="37" t="str">
        <x:v>Dizzee Rascal</x:v>
      </x:c>
      <x:c r="H147" s="37" t="str">
        <x:v>2003-10-27</x:v>
      </x:c>
      <x:c r="I147" s="37" t="n">
        <x:v>0</x:v>
      </x:c>
      <x:c r="J147" s="37" t="str">
        <x:v>https://musicbrainz.org/recording/f9caf3bd-2400-48c5-995b-8f6033184a3c</x:v>
      </x:c>
      <x:c r="K147" s="37" t="str">
        <x:v>https://musicbrainz.org/ws/2/recording/?query=recording%3A%22I+Luv+U%22+AND+artist%3A%22Dizzee+Rascal%22&amp;fmt=json&amp;limit=8</x:v>
      </x:c>
      <x:c r="L147" s="37" t="str">
        <x:v>Candidate discovery only; does not verify the intended version</x:v>
      </x:c>
    </x:row>
    <x:row r="148">
      <x:c r="A148" s="36" t="n">
        <x:v>147</x:v>
      </x:c>
      <x:c r="B148" s="36" t="str">
        <x:v>candidate_found</x:v>
      </x:c>
      <x:c r="C148" s="36" t="n">
        <x:v>2001</x:v>
      </x:c>
      <x:c r="D148" s="37" t="str">
        <x:v>The Streets</x:v>
      </x:c>
      <x:c r="E148" s="37" t="str">
        <x:v>Has It Come to This?</x:v>
      </x:c>
      <x:c r="F148" s="37" t="str">
        <x:v>Has It Come to This?</x:v>
      </x:c>
      <x:c r="G148" s="37" t="str">
        <x:v>The Streets</x:v>
      </x:c>
      <x:c r="H148" s="37" t="str">
        <x:v>2002</x:v>
      </x:c>
      <x:c r="I148" s="37" t="n">
        <x:v>1</x:v>
      </x:c>
      <x:c r="J148" s="37" t="str">
        <x:v>https://musicbrainz.org/recording/1a6eae1a-7627-482f-b0da-274af6acaaa1</x:v>
      </x:c>
      <x:c r="K148" s="37" t="str">
        <x:v>https://musicbrainz.org/ws/2/recording/?query=recording%3A%22Has+It+Come+to+This%3F%22+AND+artist%3A%22The+Streets%22&amp;fmt=json&amp;limit=8</x:v>
      </x:c>
      <x:c r="L148" s="37" t="str">
        <x:v>Candidate discovery only; does not verify the intended version</x:v>
      </x:c>
    </x:row>
    <x:row r="149">
      <x:c r="A149" s="36" t="n">
        <x:v>148</x:v>
      </x:c>
      <x:c r="B149" s="36" t="str">
        <x:v>candidate_found</x:v>
      </x:c>
      <x:c r="C149" s="36" t="n">
        <x:v>2004</x:v>
      </x:c>
      <x:c r="D149" s="37" t="str">
        <x:v>TTC</x:v>
      </x:c>
      <x:c r="E149" s="37" t="str">
        <x:v>Dans le club</x:v>
      </x:c>
      <x:c r="F149" s="37" t="str">
        <x:v>Dans le club</x:v>
      </x:c>
      <x:c r="G149" s="37" t="str">
        <x:v>TTC</x:v>
      </x:c>
      <x:c r="H149" s="37" t="str">
        <x:v>2004-10-25</x:v>
      </x:c>
      <x:c r="I149" s="37" t="n">
        <x:v>0</x:v>
      </x:c>
      <x:c r="J149" s="37" t="str">
        <x:v>https://musicbrainz.org/recording/4122c34c-de76-4d4f-a528-e169d259b01c</x:v>
      </x:c>
      <x:c r="K149" s="37" t="str">
        <x:v>https://musicbrainz.org/ws/2/recording/?query=recording%3A%22Dans+le+club%22+AND+artist%3A%22TTC%22&amp;fmt=json&amp;limit=8</x:v>
      </x:c>
      <x:c r="L149" s="37" t="str">
        <x:v>Candidate discovery only; does not verify the intended version</x:v>
      </x:c>
    </x:row>
    <x:row r="150">
      <x:c r="A150" s="36" t="n">
        <x:v>149</x:v>
      </x:c>
      <x:c r="B150" s="36" t="str">
        <x:v>candidate_found</x:v>
      </x:c>
      <x:c r="C150" s="36" t="n">
        <x:v>2005</x:v>
      </x:c>
      <x:c r="D150" s="37" t="str">
        <x:v>K'naan</x:v>
      </x:c>
      <x:c r="E150" s="37" t="str">
        <x:v>What's Hardcore?</x:v>
      </x:c>
      <x:c r="F150" s="37" t="str">
        <x:v>What's Hardcore?</x:v>
      </x:c>
      <x:c r="G150" s="37" t="str">
        <x:v>K’naan</x:v>
      </x:c>
      <x:c r="H150" s="37" t="str">
        <x:v>2006-03-27</x:v>
      </x:c>
      <x:c r="I150" s="37" t="n">
        <x:v>1</x:v>
      </x:c>
      <x:c r="J150" s="37" t="str">
        <x:v>https://musicbrainz.org/recording/6c50a812-c862-4a5c-8ee3-4ca3833f996b</x:v>
      </x:c>
      <x:c r="K150" s="37" t="str">
        <x:v>https://musicbrainz.org/ws/2/recording/?query=recording%3A%22What%27s+Hardcore%3F%22+AND+artist%3A%22K%27naan%22&amp;fmt=json&amp;limit=8</x:v>
      </x:c>
      <x:c r="L150" s="37" t="str">
        <x:v>Candidate discovery only; does not verify the intended version</x:v>
      </x:c>
    </x:row>
    <x:row r="151">
      <x:c r="A151" s="36" t="n">
        <x:v>150</x:v>
      </x:c>
      <x:c r="B151" s="36" t="str">
        <x:v>candidate_found</x:v>
      </x:c>
      <x:c r="C151" s="36" t="n">
        <x:v>2003</x:v>
      </x:c>
      <x:c r="D151" s="37" t="str">
        <x:v>Daara J</x:v>
      </x:c>
      <x:c r="E151" s="37" t="str">
        <x:v>Exodus</x:v>
      </x:c>
      <x:c r="F151" s="37" t="str">
        <x:v>Exodus</x:v>
      </x:c>
      <x:c r="G151" s="37" t="str">
        <x:v>Daara J</x:v>
      </x:c>
      <x:c r="H151" s="37" t="str">
        <x:v>2003</x:v>
      </x:c>
      <x:c r="I151" s="37" t="n">
        <x:v>0</x:v>
      </x:c>
      <x:c r="J151" s="37" t="str">
        <x:v>https://musicbrainz.org/recording/f250639a-88a0-4405-bb78-d13c5f1c80b5</x:v>
      </x:c>
      <x:c r="K151" s="37" t="str">
        <x:v>https://musicbrainz.org/ws/2/recording/?query=recording%3A%22Exodus%22+AND+artist%3A%22Daara+J%22&amp;fmt=json&amp;limit=8</x:v>
      </x:c>
      <x:c r="L151" s="37" t="str">
        <x:v>Candidate discovery only; does not verify the intended version</x:v>
      </x:c>
    </x:row>
    <x:row r="152">
      <x:c r="A152" s="36" t="n">
        <x:v>151</x:v>
      </x:c>
      <x:c r="B152" s="36" t="str">
        <x:v>candidate_found</x:v>
      </x:c>
      <x:c r="C152" s="36" t="n">
        <x:v>2008</x:v>
      </x:c>
      <x:c r="D152" s="37" t="str">
        <x:v>Lil Wayne</x:v>
      </x:c>
      <x:c r="E152" s="37" t="str">
        <x:v>A Milli</x:v>
      </x:c>
      <x:c r="F152" s="37" t="str">
        <x:v>A Milli</x:v>
      </x:c>
      <x:c r="G152" s="37" t="str">
        <x:v>Lil Wayne</x:v>
      </x:c>
      <x:c r="H152" s="37" t="str">
        <x:v>2008-04-11</x:v>
      </x:c>
      <x:c r="I152" s="37" t="n">
        <x:v>0</x:v>
      </x:c>
      <x:c r="J152" s="37" t="str">
        <x:v>https://musicbrainz.org/recording/0fbf43cf-1482-4177-b44e-7442390930a4</x:v>
      </x:c>
      <x:c r="K152" s="37" t="str">
        <x:v>https://musicbrainz.org/ws/2/recording/?query=recording%3A%22A+Milli%22+AND+artist%3A%22Lil+Wayne%22&amp;fmt=json&amp;limit=8</x:v>
      </x:c>
      <x:c r="L152" s="37" t="str">
        <x:v>Candidate discovery only; does not verify the intended version</x:v>
      </x:c>
    </x:row>
    <x:row r="153">
      <x:c r="A153" s="36" t="n">
        <x:v>152</x:v>
      </x:c>
      <x:c r="B153" s="36" t="str">
        <x:v>candidate_found</x:v>
      </x:c>
      <x:c r="C153" s="36" t="n">
        <x:v>2008</x:v>
      </x:c>
      <x:c r="D153" s="37" t="str">
        <x:v>Kanye West</x:v>
      </x:c>
      <x:c r="E153" s="37" t="str">
        <x:v>Say You Will</x:v>
      </x:c>
      <x:c r="F153" s="37" t="str">
        <x:v>Say You Will</x:v>
      </x:c>
      <x:c r="G153" s="37" t="str">
        <x:v>Kanye West</x:v>
      </x:c>
      <x:c r="H153" s="37" t="str">
        <x:v>2008-11-21</x:v>
      </x:c>
      <x:c r="I153" s="37" t="n">
        <x:v>0</x:v>
      </x:c>
      <x:c r="J153" s="37" t="str">
        <x:v>https://musicbrainz.org/recording/03bd74d1-e7f9-471f-a2b0-f18fd35a4a68</x:v>
      </x:c>
      <x:c r="K153" s="37" t="str">
        <x:v>https://musicbrainz.org/ws/2/recording/?query=recording%3A%22Say+You+Will%22+AND+artist%3A%22Kanye+West%22&amp;fmt=json&amp;limit=8</x:v>
      </x:c>
      <x:c r="L153" s="37" t="str">
        <x:v>Candidate discovery only; does not verify the intended version</x:v>
      </x:c>
    </x:row>
    <x:row r="154">
      <x:c r="A154" s="36" t="n">
        <x:v>153</x:v>
      </x:c>
      <x:c r="B154" s="36" t="str">
        <x:v>candidate_found</x:v>
      </x:c>
      <x:c r="C154" s="36" t="n">
        <x:v>2007</x:v>
      </x:c>
      <x:c r="D154" s="37" t="str">
        <x:v>T-Pain featuring Yung Joc</x:v>
      </x:c>
      <x:c r="E154" s="37" t="str">
        <x:v>Buy U a Drank (Shawty Snappin')</x:v>
      </x:c>
      <x:c r="F154" s="37" t="str">
        <x:v>Buy U a Drank (Shawty Snappin’)</x:v>
      </x:c>
      <x:c r="G154" s="37" t="str">
        <x:v>T‐PainYung Joc</x:v>
      </x:c>
      <x:c r="H154" s="37" t="str">
        <x:v>2007</x:v>
      </x:c>
      <x:c r="I154" s="37" t="n">
        <x:v>0</x:v>
      </x:c>
      <x:c r="J154" s="37" t="str">
        <x:v>https://musicbrainz.org/recording/cfeec1b1-dfc7-4262-9466-0af0e4790bed</x:v>
      </x:c>
      <x:c r="K154" s="37" t="str">
        <x:v>https://musicbrainz.org/ws/2/recording/?query=recording%3A%22Buy+U+a+Drank+%28Shawty+Snappin%27%29%22+AND+artist%3A%22T-Pain%22&amp;fmt=json&amp;limit=8</x:v>
      </x:c>
      <x:c r="L154" s="37" t="str">
        <x:v>Candidate discovery only; does not verify the intended version</x:v>
      </x:c>
    </x:row>
    <x:row r="155">
      <x:c r="A155" s="36" t="n">
        <x:v>154</x:v>
      </x:c>
      <x:c r="B155" s="36" t="str">
        <x:v>candidate_found</x:v>
      </x:c>
      <x:c r="C155" s="36" t="n">
        <x:v>2008</x:v>
      </x:c>
      <x:c r="D155" s="37" t="str">
        <x:v>Kid Cudi</x:v>
      </x:c>
      <x:c r="E155" s="37" t="str">
        <x:v>Day 'N' Nite</x:v>
      </x:c>
      <x:c r="F155" s="37" t="str">
        <x:v>Day N Nite</x:v>
      </x:c>
      <x:c r="G155" s="37" t="str">
        <x:v>Kid Cudi</x:v>
      </x:c>
      <x:c r="H155" s="37" t="str">
        <x:v>2008</x:v>
      </x:c>
      <x:c r="I155" s="37" t="n">
        <x:v>0</x:v>
      </x:c>
      <x:c r="J155" s="37" t="str">
        <x:v>https://musicbrainz.org/recording/efa550e0-43dd-457b-adea-a7c83ff627e6</x:v>
      </x:c>
      <x:c r="K155" s="37" t="str">
        <x:v>https://musicbrainz.org/ws/2/recording/?query=recording%3A%22Day+%27N%27+Nite%22+AND+artist%3A%22Kid+Cudi%22&amp;fmt=json&amp;limit=8</x:v>
      </x:c>
      <x:c r="L155" s="37" t="str">
        <x:v>Candidate discovery only; does not verify the intended version</x:v>
      </x:c>
    </x:row>
    <x:row r="156">
      <x:c r="A156" s="36" t="n">
        <x:v>155</x:v>
      </x:c>
      <x:c r="B156" s="36" t="str">
        <x:v>candidate_found</x:v>
      </x:c>
      <x:c r="C156" s="36" t="n">
        <x:v>2010</x:v>
      </x:c>
      <x:c r="D156" s="37" t="str">
        <x:v>Drake</x:v>
      </x:c>
      <x:c r="E156" s="37" t="str">
        <x:v>9AM in Dallas</x:v>
      </x:c>
      <x:c r="F156" s="37" t="str">
        <x:v>9AM in Dallas</x:v>
      </x:c>
      <x:c r="G156" s="37" t="str">
        <x:v>Drake</x:v>
      </x:c>
      <x:c r="H156" s="37" t="str">
        <x:v>2010-06-15</x:v>
      </x:c>
      <x:c r="I156" s="37" t="n">
        <x:v>0</x:v>
      </x:c>
      <x:c r="J156" s="37" t="str">
        <x:v>https://musicbrainz.org/recording/2c45c733-8533-4f7f-a77e-33104059f4f9</x:v>
      </x:c>
      <x:c r="K156" s="37" t="str">
        <x:v>https://musicbrainz.org/ws/2/recording/?query=recording%3A%229AM+in+Dallas%22+AND+artist%3A%22Drake%22&amp;fmt=json&amp;limit=8</x:v>
      </x:c>
      <x:c r="L156" s="37" t="str">
        <x:v>Candidate discovery only; does not verify the intended version</x:v>
      </x:c>
    </x:row>
    <x:row r="157">
      <x:c r="A157" s="36" t="n">
        <x:v>156</x:v>
      </x:c>
      <x:c r="B157" s="36" t="str">
        <x:v>candidate_found</x:v>
      </x:c>
      <x:c r="C157" s="36" t="n">
        <x:v>2010</x:v>
      </x:c>
      <x:c r="D157" s="37" t="str">
        <x:v>Waka Flocka Flame</x:v>
      </x:c>
      <x:c r="E157" s="37" t="str">
        <x:v>Hard in da Paint</x:v>
      </x:c>
      <x:c r="F157" s="37" t="str">
        <x:v>Hard in da Paint</x:v>
      </x:c>
      <x:c r="G157" s="37" t="str">
        <x:v>Waka Flocka Flame</x:v>
      </x:c>
      <x:c r="H157" s="37" t="str">
        <x:v>2009</x:v>
      </x:c>
      <x:c r="I157" s="37" t="n">
        <x:v>1</x:v>
      </x:c>
      <x:c r="J157" s="37" t="str">
        <x:v>https://musicbrainz.org/recording/15c63f38-5f37-4383-bfbe-b3c76b2b88f8</x:v>
      </x:c>
      <x:c r="K157" s="37" t="str">
        <x:v>https://musicbrainz.org/ws/2/recording/?query=recording%3A%22Hard+in+da+Paint%22+AND+artist%3A%22Waka+Flocka+Flame%22&amp;fmt=json&amp;limit=8</x:v>
      </x:c>
      <x:c r="L157" s="37" t="str">
        <x:v>Candidate discovery only; does not verify the intended version</x:v>
      </x:c>
    </x:row>
    <x:row r="158">
      <x:c r="A158" s="36" t="n">
        <x:v>157</x:v>
      </x:c>
      <x:c r="B158" s="36" t="str">
        <x:v>candidate_found</x:v>
      </x:c>
      <x:c r="C158" s="36" t="n">
        <x:v>2009</x:v>
      </x:c>
      <x:c r="D158" s="37" t="str">
        <x:v>Nicki Minaj</x:v>
      </x:c>
      <x:c r="E158" s="37" t="str">
        <x:v>Itty Bitty Piggy</x:v>
      </x:c>
      <x:c r="F158" s="37" t="str">
        <x:v>Itty Bitty Piggy</x:v>
      </x:c>
      <x:c r="G158" s="37" t="str">
        <x:v>Nicki Minaj</x:v>
      </x:c>
      <x:c r="H158" s="37" t="str">
        <x:v>2009-10-31</x:v>
      </x:c>
      <x:c r="I158" s="37" t="n">
        <x:v>0</x:v>
      </x:c>
      <x:c r="J158" s="37" t="str">
        <x:v>https://musicbrainz.org/recording/bfe7bf30-6385-4619-8fac-34e61aacd7ea</x:v>
      </x:c>
      <x:c r="K158" s="37" t="str">
        <x:v>https://musicbrainz.org/ws/2/recording/?query=recording%3A%22Itty+Bitty+Piggy%22+AND+artist%3A%22Nicki+Minaj%22&amp;fmt=json&amp;limit=8</x:v>
      </x:c>
      <x:c r="L158" s="37" t="str">
        <x:v>Candidate discovery only; does not verify the intended version</x:v>
      </x:c>
    </x:row>
    <x:row r="159">
      <x:c r="A159" s="36" t="n">
        <x:v>158</x:v>
      </x:c>
      <x:c r="B159" s="36" t="str">
        <x:v>candidate_found</x:v>
      </x:c>
      <x:c r="C159" s="36" t="n">
        <x:v>2007</x:v>
      </x:c>
      <x:c r="D159" s="37" t="str">
        <x:v>Lupe Fiasco</x:v>
      </x:c>
      <x:c r="E159" s="37" t="str">
        <x:v>Dumb It Down</x:v>
      </x:c>
      <x:c r="F159" s="37" t="str">
        <x:v>Dumb It Down</x:v>
      </x:c>
      <x:c r="G159" s="37" t="str">
        <x:v>Lupe Fiasco</x:v>
      </x:c>
      <x:c r="H159" s="37" t="str">
        <x:v>2007</x:v>
      </x:c>
      <x:c r="I159" s="37" t="n">
        <x:v>0</x:v>
      </x:c>
      <x:c r="J159" s="37" t="str">
        <x:v>https://musicbrainz.org/recording/2176899c-5658-433e-93fa-95b59749e3a3</x:v>
      </x:c>
      <x:c r="K159" s="37" t="str">
        <x:v>https://musicbrainz.org/ws/2/recording/?query=recording%3A%22Dumb+It+Down%22+AND+artist%3A%22Lupe+Fiasco%22&amp;fmt=json&amp;limit=8</x:v>
      </x:c>
      <x:c r="L159" s="37" t="str">
        <x:v>Candidate discovery only; does not verify the intended version</x:v>
      </x:c>
    </x:row>
    <x:row r="160">
      <x:c r="A160" s="36" t="n">
        <x:v>159</x:v>
      </x:c>
      <x:c r="B160" s="36" t="str">
        <x:v>candidate_found</x:v>
      </x:c>
      <x:c r="C160" s="36" t="n">
        <x:v>2007</x:v>
      </x:c>
      <x:c r="D160" s="37" t="str">
        <x:v>Blu &amp; Exile</x:v>
      </x:c>
      <x:c r="E160" s="37" t="str">
        <x:v>Dancing in the Rain</x:v>
      </x:c>
      <x:c r="F160" s="37" t="str">
        <x:v>Dancing in the Rain</x:v>
      </x:c>
      <x:c r="G160" s="37" t="str">
        <x:v>Blu &amp; Exile</x:v>
      </x:c>
      <x:c r="H160" s="37" t="str">
        <x:v>2007-07-17</x:v>
      </x:c>
      <x:c r="I160" s="37" t="n">
        <x:v>0</x:v>
      </x:c>
      <x:c r="J160" s="37" t="str">
        <x:v>https://musicbrainz.org/recording/e99161a1-9f90-491e-8592-499312745fa4</x:v>
      </x:c>
      <x:c r="K160" s="37" t="str">
        <x:v>https://musicbrainz.org/ws/2/recording/?query=recording%3A%22Dancing+in+the+Rain%22+AND+artist%3A%22Blu+%26+Exile%22&amp;fmt=json&amp;limit=8</x:v>
      </x:c>
      <x:c r="L160" s="37" t="str">
        <x:v>Candidate discovery only; does not verify the intended version</x:v>
      </x:c>
    </x:row>
    <x:row r="161">
      <x:c r="A161" s="36" t="n">
        <x:v>160</x:v>
      </x:c>
      <x:c r="B161" s="36" t="str">
        <x:v>candidate_found</x:v>
      </x:c>
      <x:c r="C161" s="36" t="n">
        <x:v>2009</x:v>
      </x:c>
      <x:c r="D161" s="37" t="str">
        <x:v>Rye Rye featuring M.I.A.</x:v>
      </x:c>
      <x:c r="E161" s="37" t="str">
        <x:v>Bang</x:v>
      </x:c>
      <x:c r="F161" s="37" t="str">
        <x:v>Bang</x:v>
      </x:c>
      <x:c r="G161" s="37" t="str">
        <x:v>Rye RyeM.I.A.</x:v>
      </x:c>
      <x:c r="H161" s="37" t="str">
        <x:v>2009-04-28</x:v>
      </x:c>
      <x:c r="I161" s="37" t="n">
        <x:v>0</x:v>
      </x:c>
      <x:c r="J161" s="37" t="str">
        <x:v>https://musicbrainz.org/recording/16258751-346f-414f-b775-ad51fd8ff85a</x:v>
      </x:c>
      <x:c r="K161" s="37" t="str">
        <x:v>https://musicbrainz.org/ws/2/recording/?query=recording%3A%22Bang%22+AND+artist%3A%22Rye+Rye%22&amp;fmt=json&amp;limit=8</x:v>
      </x:c>
      <x:c r="L161" s="37" t="str">
        <x:v>Candidate discovery only; does not verify the intended version</x:v>
      </x:c>
    </x:row>
    <x:row r="162">
      <x:c r="A162" s="36" t="n">
        <x:v>161</x:v>
      </x:c>
      <x:c r="B162" s="36" t="str">
        <x:v>candidate_found</x:v>
      </x:c>
      <x:c r="C162" s="36" t="n">
        <x:v>2010</x:v>
      </x:c>
      <x:c r="D162" s="37" t="str">
        <x:v>Lil B</x:v>
      </x:c>
      <x:c r="E162" s="37" t="str">
        <x:v>Wonton Soup</x:v>
      </x:c>
      <x:c r="F162" s="37" t="str">
        <x:v>Wonton Soup</x:v>
      </x:c>
      <x:c r="G162" s="37" t="str">
        <x:v>Lil B</x:v>
      </x:c>
      <x:c r="H162" s="37" t="str">
        <x:v>2010-09-13</x:v>
      </x:c>
      <x:c r="I162" s="37" t="n">
        <x:v>0</x:v>
      </x:c>
      <x:c r="J162" s="37" t="str">
        <x:v>https://musicbrainz.org/recording/eba9bcde-c494-4109-a1c8-443303f321b3</x:v>
      </x:c>
      <x:c r="K162" s="37" t="str">
        <x:v>https://musicbrainz.org/ws/2/recording/?query=recording%3A%22Wonton+Soup%22+AND+artist%3A%22Lil+B%22&amp;fmt=json&amp;limit=8</x:v>
      </x:c>
      <x:c r="L162" s="37" t="str">
        <x:v>Candidate discovery only; does not verify the intended version</x:v>
      </x:c>
    </x:row>
    <x:row r="163">
      <x:c r="A163" s="36" t="n">
        <x:v>162</x:v>
      </x:c>
      <x:c r="B163" s="36" t="str">
        <x:v>candidate_found</x:v>
      </x:c>
      <x:c r="C163" s="36" t="n">
        <x:v>2007</x:v>
      </x:c>
      <x:c r="D163" s="37" t="str">
        <x:v>Giggs</x:v>
      </x:c>
      <x:c r="E163" s="37" t="str">
        <x:v>Talkin da Hardest</x:v>
      </x:c>
      <x:c r="F163" s="37" t="str">
        <x:v>Talkin' da Hardest</x:v>
      </x:c>
      <x:c r="G163" s="37" t="str">
        <x:v>Giggs</x:v>
      </x:c>
      <x:c r="H163" s="37" t="str">
        <x:v>2007</x:v>
      </x:c>
      <x:c r="I163" s="37" t="n">
        <x:v>0</x:v>
      </x:c>
      <x:c r="J163" s="37" t="str">
        <x:v>https://musicbrainz.org/recording/dd022f9b-baf6-4d38-b05a-ad0591121c87</x:v>
      </x:c>
      <x:c r="K163" s="37" t="str">
        <x:v>https://musicbrainz.org/ws/2/recording/?query=recording%3A%22Talkin+da+Hardest%22+AND+artist%3A%22Giggs%22&amp;fmt=json&amp;limit=8</x:v>
      </x:c>
      <x:c r="L163" s="37" t="str">
        <x:v>Candidate discovery only; does not verify the intended version</x:v>
      </x:c>
    </x:row>
    <x:row r="164">
      <x:c r="A164" s="36" t="n">
        <x:v>163</x:v>
      </x:c>
      <x:c r="B164" s="36" t="str">
        <x:v>candidate_found</x:v>
      </x:c>
      <x:c r="C164" s="36" t="n">
        <x:v>2010</x:v>
      </x:c>
      <x:c r="D164" s="37" t="str">
        <x:v>Ana Tijoux</x:v>
      </x:c>
      <x:c r="E164" s="37" t="str">
        <x:v>1977</x:v>
      </x:c>
      <x:c r="F164" s="37" t="str">
        <x:v>1977</x:v>
      </x:c>
      <x:c r="G164" s="37" t="str">
        <x:v>Ana Tijoux</x:v>
      </x:c>
      <x:c r="H164" s="37" t="str">
        <x:v>2010-12-18</x:v>
      </x:c>
      <x:c r="I164" s="37" t="n">
        <x:v>0</x:v>
      </x:c>
      <x:c r="J164" s="37" t="str">
        <x:v>https://musicbrainz.org/recording/4e259ac3-e60b-447c-b3d4-297b28003800</x:v>
      </x:c>
      <x:c r="K164" s="37" t="str">
        <x:v>https://musicbrainz.org/ws/2/recording/?query=recording%3A%221977%22+AND+artist%3A%22Ana+Tijoux%22&amp;fmt=json&amp;limit=8</x:v>
      </x:c>
      <x:c r="L164" s="37" t="str">
        <x:v>Candidate discovery only; does not verify the intended version</x:v>
      </x:c>
    </x:row>
    <x:row r="165">
      <x:c r="A165" s="36" t="n">
        <x:v>164</x:v>
      </x:c>
      <x:c r="B165" s="36" t="str">
        <x:v>candidate_found</x:v>
      </x:c>
      <x:c r="C165" s="36" t="n">
        <x:v>2008</x:v>
      </x:c>
      <x:c r="D165" s="37" t="str">
        <x:v>Ben Sharpa</x:v>
      </x:c>
      <x:c r="E165" s="37" t="str">
        <x:v>Hegemony</x:v>
      </x:c>
      <x:c r="F165" s="37" t="str">
        <x:v>Hegemony</x:v>
      </x:c>
      <x:c r="G165" s="37" t="str">
        <x:v>Ben Sharpa</x:v>
      </x:c>
      <x:c r="H165" s="37" t="str">
        <x:v>2008-10-15</x:v>
      </x:c>
      <x:c r="I165" s="37" t="n">
        <x:v>0</x:v>
      </x:c>
      <x:c r="J165" s="37" t="str">
        <x:v>https://musicbrainz.org/recording/907dc12c-e8d1-4828-bc0e-0a399c955022</x:v>
      </x:c>
      <x:c r="K165" s="37" t="str">
        <x:v>https://musicbrainz.org/ws/2/recording/?query=recording%3A%22Hegemony%22+AND+artist%3A%22Ben+Sharpa%22&amp;fmt=json&amp;limit=8</x:v>
      </x:c>
      <x:c r="L165" s="37" t="str">
        <x:v>Candidate discovery only; does not verify the intended version</x:v>
      </x:c>
    </x:row>
    <x:row r="166">
      <x:c r="A166" s="36" t="n">
        <x:v>165</x:v>
      </x:c>
      <x:c r="B166" s="36" t="str">
        <x:v>no_candidate</x:v>
      </x:c>
      <x:c r="C166" s="36" t="n">
        <x:v>2010</x:v>
      </x:c>
      <x:c r="D166" s="37" t="str">
        <x:v>Shadia Mansour featuring M-1</x:v>
      </x:c>
      <x:c r="E166" s="37" t="str">
        <x:v>Al Kufiyyeh 3Arabeyyeh</x:v>
      </x:c>
      <x:c r="F166" s="37" t="str"/>
      <x:c r="G166" s="37" t="str"/>
      <x:c r="H166" s="37" t="str"/>
      <x:c r="I166" s="37"/>
      <x:c r="J166" s="37" t="str"/>
      <x:c r="K166" s="37" t="str">
        <x:v>https://musicbrainz.org/ws/2/recording/?query=recording%3A%22Al+Kufiyyeh+3Arabeyyeh%22+AND+artist%3A%22Shadia+Mansour%22&amp;fmt=json&amp;limit=8</x:v>
      </x:c>
      <x:c r="L166" s="37" t="str">
        <x:v>Candidate discovery only; does not verify the intended version</x:v>
      </x:c>
    </x:row>
    <x:row r="167">
      <x:c r="A167" s="36" t="n">
        <x:v>166</x:v>
      </x:c>
      <x:c r="B167" s="36" t="str">
        <x:v>candidate_found</x:v>
      </x:c>
      <x:c r="C167" s="36" t="n">
        <x:v>2008</x:v>
      </x:c>
      <x:c r="D167" s="37" t="str">
        <x:v>Emicida</x:v>
      </x:c>
      <x:c r="E167" s="37" t="str">
        <x:v>Triunfo</x:v>
      </x:c>
      <x:c r="F167" s="37" t="str">
        <x:v>Triunfo</x:v>
      </x:c>
      <x:c r="G167" s="37" t="str">
        <x:v>Emicida</x:v>
      </x:c>
      <x:c r="H167" s="37" t="str">
        <x:v>2009-05-01</x:v>
      </x:c>
      <x:c r="I167" s="37" t="n">
        <x:v>1</x:v>
      </x:c>
      <x:c r="J167" s="37" t="str">
        <x:v>https://musicbrainz.org/recording/c2b75c9d-ea2b-4d16-aa79-5bc80365bfd3</x:v>
      </x:c>
      <x:c r="K167" s="37" t="str">
        <x:v>https://musicbrainz.org/ws/2/recording/?query=recording%3A%22Triunfo%22+AND+artist%3A%22Emicida%22&amp;fmt=json&amp;limit=8</x:v>
      </x:c>
      <x:c r="L167" s="37" t="str">
        <x:v>Candidate discovery only; does not verify the intended version</x:v>
      </x:c>
    </x:row>
    <x:row r="168">
      <x:c r="A168" s="36" t="n">
        <x:v>167</x:v>
      </x:c>
      <x:c r="B168" s="36" t="str">
        <x:v>candidate_found</x:v>
      </x:c>
      <x:c r="C168" s="36" t="n">
        <x:v>2012</x:v>
      </x:c>
      <x:c r="D168" s="37" t="str">
        <x:v>Chief Keef featuring Lil Reese</x:v>
      </x:c>
      <x:c r="E168" s="37" t="str">
        <x:v>I Don't Like</x:v>
      </x:c>
      <x:c r="F168" s="37" t="str">
        <x:v>I Don’t Like</x:v>
      </x:c>
      <x:c r="G168" s="37" t="str">
        <x:v>Chief Keef</x:v>
      </x:c>
      <x:c r="H168" s="37" t="str">
        <x:v>2012-07-23</x:v>
      </x:c>
      <x:c r="I168" s="37" t="n">
        <x:v>0</x:v>
      </x:c>
      <x:c r="J168" s="37" t="str">
        <x:v>https://musicbrainz.org/recording/12c0fca8-4b35-4a80-a350-d0697fed6287</x:v>
      </x:c>
      <x:c r="K168" s="37" t="str">
        <x:v>https://musicbrainz.org/ws/2/recording/?query=recording%3A%22I+Don%27t+Like%22+AND+artist%3A%22Chief+Keef%22&amp;fmt=json&amp;limit=8</x:v>
      </x:c>
      <x:c r="L168" s="37" t="str">
        <x:v>Candidate discovery only; does not verify the intended version</x:v>
      </x:c>
    </x:row>
    <x:row r="169">
      <x:c r="A169" s="36" t="n">
        <x:v>168</x:v>
      </x:c>
      <x:c r="B169" s="36" t="str">
        <x:v>candidate_found</x:v>
      </x:c>
      <x:c r="C169" s="36" t="n">
        <x:v>2012</x:v>
      </x:c>
      <x:c r="D169" s="37" t="str">
        <x:v>Angel Haze</x:v>
      </x:c>
      <x:c r="E169" s="37" t="str">
        <x:v>Werkin' Girls</x:v>
      </x:c>
      <x:c r="F169" s="37" t="str">
        <x:v>Werkin' Girls</x:v>
      </x:c>
      <x:c r="G169" s="37" t="str">
        <x:v>Angel Haze</x:v>
      </x:c>
      <x:c r="H169" s="37" t="str">
        <x:v>2012-07-18</x:v>
      </x:c>
      <x:c r="I169" s="37" t="n">
        <x:v>0</x:v>
      </x:c>
      <x:c r="J169" s="37" t="str">
        <x:v>https://musicbrainz.org/recording/c67dd516-23ef-42e9-a1f1-f72e112f1694</x:v>
      </x:c>
      <x:c r="K169" s="37" t="str">
        <x:v>https://musicbrainz.org/ws/2/recording/?query=recording%3A%22Werkin%27+Girls%22+AND+artist%3A%22Angel+Haze%22&amp;fmt=json&amp;limit=8</x:v>
      </x:c>
      <x:c r="L169" s="37" t="str">
        <x:v>Candidate discovery only; does not verify the intended version</x:v>
      </x:c>
    </x:row>
    <x:row r="170">
      <x:c r="A170" s="36" t="n">
        <x:v>169</x:v>
      </x:c>
      <x:c r="B170" s="36" t="str">
        <x:v>candidate_found</x:v>
      </x:c>
      <x:c r="C170" s="36" t="n">
        <x:v>2014</x:v>
      </x:c>
      <x:c r="D170" s="37" t="str">
        <x:v>Future</x:v>
      </x:c>
      <x:c r="E170" s="37" t="str">
        <x:v>Codeine Crazy</x:v>
      </x:c>
      <x:c r="F170" s="37" t="str">
        <x:v>Codeine Crazy</x:v>
      </x:c>
      <x:c r="G170" s="37" t="str">
        <x:v>Future</x:v>
      </x:c>
      <x:c r="H170" s="37" t="str">
        <x:v>2014-11-09</x:v>
      </x:c>
      <x:c r="I170" s="37" t="n">
        <x:v>0</x:v>
      </x:c>
      <x:c r="J170" s="37" t="str">
        <x:v>https://musicbrainz.org/recording/4e795479-3483-4c9e-8090-734ceea61c38</x:v>
      </x:c>
      <x:c r="K170" s="37" t="str">
        <x:v>https://musicbrainz.org/ws/2/recording/?query=recording%3A%22Codeine+Crazy%22+AND+artist%3A%22Future%22&amp;fmt=json&amp;limit=8</x:v>
      </x:c>
      <x:c r="L170" s="37" t="str">
        <x:v>Candidate discovery only; does not verify the intended version</x:v>
      </x:c>
    </x:row>
    <x:row r="171">
      <x:c r="A171" s="36" t="n">
        <x:v>170</x:v>
      </x:c>
      <x:c r="B171" s="36" t="str">
        <x:v>candidate_found</x:v>
      </x:c>
      <x:c r="C171" s="36" t="n">
        <x:v>2014</x:v>
      </x:c>
      <x:c r="D171" s="37" t="str">
        <x:v>Rich Gang featuring Young Thug and Rich Homie Quan</x:v>
      </x:c>
      <x:c r="E171" s="37" t="str">
        <x:v>Lifestyle</x:v>
      </x:c>
      <x:c r="F171" s="37" t="str">
        <x:v>Lifestyle</x:v>
      </x:c>
      <x:c r="G171" s="37" t="str">
        <x:v>Rich GangYoung ThugRich Homie Quan</x:v>
      </x:c>
      <x:c r="H171" s="37" t="str">
        <x:v>2014-06-05</x:v>
      </x:c>
      <x:c r="I171" s="37" t="n">
        <x:v>0</x:v>
      </x:c>
      <x:c r="J171" s="37" t="str">
        <x:v>https://musicbrainz.org/recording/d1d2db47-bfb9-4e1b-98a1-e6b85bee3eb8</x:v>
      </x:c>
      <x:c r="K171" s="37" t="str">
        <x:v>https://musicbrainz.org/ws/2/recording/?query=recording%3A%22Lifestyle%22+AND+artist%3A%22Rich+Gang%22&amp;fmt=json&amp;limit=8</x:v>
      </x:c>
      <x:c r="L171" s="37" t="str">
        <x:v>Candidate discovery only; does not verify the intended version</x:v>
      </x:c>
    </x:row>
    <x:row r="172">
      <x:c r="A172" s="36" t="n">
        <x:v>171</x:v>
      </x:c>
      <x:c r="B172" s="36" t="str">
        <x:v>candidate_found</x:v>
      </x:c>
      <x:c r="C172" s="36" t="n">
        <x:v>2014</x:v>
      </x:c>
      <x:c r="D172" s="37" t="str">
        <x:v>Migos</x:v>
      </x:c>
      <x:c r="E172" s="37" t="str">
        <x:v>Fight Night</x:v>
      </x:c>
      <x:c r="F172" s="37" t="str">
        <x:v>Fight Night</x:v>
      </x:c>
      <x:c r="G172" s="37" t="str">
        <x:v>Migos</x:v>
      </x:c>
      <x:c r="H172" s="37" t="str">
        <x:v>2014-02-14</x:v>
      </x:c>
      <x:c r="I172" s="37" t="n">
        <x:v>0</x:v>
      </x:c>
      <x:c r="J172" s="37" t="str">
        <x:v>https://musicbrainz.org/recording/acef03f0-5cb2-4856-90cf-8fa34624a088</x:v>
      </x:c>
      <x:c r="K172" s="37" t="str">
        <x:v>https://musicbrainz.org/ws/2/recording/?query=recording%3A%22Fight+Night%22+AND+artist%3A%22Migos%22&amp;fmt=json&amp;limit=8</x:v>
      </x:c>
      <x:c r="L172" s="37" t="str">
        <x:v>Candidate discovery only; does not verify the intended version</x:v>
      </x:c>
    </x:row>
    <x:row r="173">
      <x:c r="A173" s="36" t="n">
        <x:v>172</x:v>
      </x:c>
      <x:c r="B173" s="36" t="str">
        <x:v>candidate_found</x:v>
      </x:c>
      <x:c r="C173" s="36" t="n">
        <x:v>2012</x:v>
      </x:c>
      <x:c r="D173" s="37" t="str">
        <x:v>Kendrick Lamar</x:v>
      </x:c>
      <x:c r="E173" s="37" t="str">
        <x:v>Sing About Me, I'm Dying of Thirst</x:v>
      </x:c>
      <x:c r="F173" s="37" t="str">
        <x:v>Sing About Me, I’m Dying of Thirst</x:v>
      </x:c>
      <x:c r="G173" s="37" t="str">
        <x:v>Kendrick Lamar</x:v>
      </x:c>
      <x:c r="H173" s="37" t="str">
        <x:v>2012-10-21</x:v>
      </x:c>
      <x:c r="I173" s="37" t="n">
        <x:v>0</x:v>
      </x:c>
      <x:c r="J173" s="37" t="str">
        <x:v>https://musicbrainz.org/recording/f0fc2708-edfa-431c-80bd-305796cc5a48</x:v>
      </x:c>
      <x:c r="K173" s="37" t="str">
        <x:v>https://musicbrainz.org/ws/2/recording/?query=recording%3A%22Sing+About+Me%2C+I%27m+Dying+of+Thirst%22+AND+artist%3A%22Kendrick+Lamar%22&amp;fmt=json&amp;limit=8</x:v>
      </x:c>
      <x:c r="L173" s="37" t="str">
        <x:v>Candidate discovery only; does not verify the intended version</x:v>
      </x:c>
    </x:row>
    <x:row r="174">
      <x:c r="A174" s="36" t="n">
        <x:v>173</x:v>
      </x:c>
      <x:c r="B174" s="36" t="str">
        <x:v>candidate_found</x:v>
      </x:c>
      <x:c r="C174" s="36" t="n">
        <x:v>2014</x:v>
      </x:c>
      <x:c r="D174" s="37" t="str">
        <x:v>Run the Jewels featuring Zack de la Rocha</x:v>
      </x:c>
      <x:c r="E174" s="37" t="str">
        <x:v>Close Your Eyes (And Count to F***)</x:v>
      </x:c>
      <x:c r="F174" s="37" t="str">
        <x:v>Close Your Eyes (and Count to F**K)</x:v>
      </x:c>
      <x:c r="G174" s="37" t="str">
        <x:v>Run the JewelsZack de la Rocha</x:v>
      </x:c>
      <x:c r="H174" s="37" t="str">
        <x:v>2015-03-31</x:v>
      </x:c>
      <x:c r="I174" s="37" t="n">
        <x:v>1</x:v>
      </x:c>
      <x:c r="J174" s="37" t="str">
        <x:v>https://musicbrainz.org/recording/0258c2eb-6b68-4b8a-94ae-3b502b8814d0</x:v>
      </x:c>
      <x:c r="K174" s="37" t="str">
        <x:v>https://musicbrainz.org/ws/2/recording/?query=recording%3A%22Close+Your+Eyes+%28And+Count+to+F***%29%22+AND+artist%3A%22Run+the+Jewels%22&amp;fmt=json&amp;limit=8</x:v>
      </x:c>
      <x:c r="L174" s="37" t="str">
        <x:v>Candidate discovery only; does not verify the intended version</x:v>
      </x:c>
    </x:row>
    <x:row r="175">
      <x:c r="A175" s="36" t="n">
        <x:v>174</x:v>
      </x:c>
      <x:c r="B175" s="36" t="str">
        <x:v>candidate_found</x:v>
      </x:c>
      <x:c r="C175" s="36" t="n">
        <x:v>2012</x:v>
      </x:c>
      <x:c r="D175" s="37" t="str">
        <x:v>Death Grips</x:v>
      </x:c>
      <x:c r="E175" s="37" t="str">
        <x:v>Get Got</x:v>
      </x:c>
      <x:c r="F175" s="37" t="str">
        <x:v>Get Got</x:v>
      </x:c>
      <x:c r="G175" s="37" t="str">
        <x:v>Death Grips</x:v>
      </x:c>
      <x:c r="H175" s="37" t="str">
        <x:v>2012</x:v>
      </x:c>
      <x:c r="I175" s="37" t="n">
        <x:v>0</x:v>
      </x:c>
      <x:c r="J175" s="37" t="str">
        <x:v>https://musicbrainz.org/recording/2c6afd59-957e-4f43-b05b-ee4bf1f9ad2f</x:v>
      </x:c>
      <x:c r="K175" s="37" t="str">
        <x:v>https://musicbrainz.org/ws/2/recording/?query=recording%3A%22Get+Got%22+AND+artist%3A%22Death+Grips%22&amp;fmt=json&amp;limit=8</x:v>
      </x:c>
      <x:c r="L175" s="37" t="str">
        <x:v>Candidate discovery only; does not verify the intended version</x:v>
      </x:c>
    </x:row>
    <x:row r="176">
      <x:c r="A176" s="36" t="n">
        <x:v>175</x:v>
      </x:c>
      <x:c r="B176" s="36" t="str">
        <x:v>candidate_found</x:v>
      </x:c>
      <x:c r="C176" s="36" t="n">
        <x:v>2016</x:v>
      </x:c>
      <x:c r="D176" s="37" t="str">
        <x:v>Danny Brown</x:v>
      </x:c>
      <x:c r="E176" s="37" t="str">
        <x:v>Ain't It Funny</x:v>
      </x:c>
      <x:c r="F176" s="37" t="str">
        <x:v>Ain’t It Funny</x:v>
      </x:c>
      <x:c r="G176" s="37" t="str">
        <x:v>Danny Brown</x:v>
      </x:c>
      <x:c r="H176" s="37" t="str">
        <x:v>2016</x:v>
      </x:c>
      <x:c r="I176" s="37" t="n">
        <x:v>0</x:v>
      </x:c>
      <x:c r="J176" s="37" t="str">
        <x:v>https://musicbrainz.org/recording/36ced781-193d-42d8-b7fc-4738739ac6f1</x:v>
      </x:c>
      <x:c r="K176" s="37" t="str">
        <x:v>https://musicbrainz.org/ws/2/recording/?query=recording%3A%22Ain%27t+It+Funny%22+AND+artist%3A%22Danny+Brown%22&amp;fmt=json&amp;limit=8</x:v>
      </x:c>
      <x:c r="L176" s="37" t="str">
        <x:v>Candidate discovery only; does not verify the intended version</x:v>
      </x:c>
    </x:row>
    <x:row r="177">
      <x:c r="A177" s="36" t="n">
        <x:v>176</x:v>
      </x:c>
      <x:c r="B177" s="36" t="str">
        <x:v>candidate_found</x:v>
      </x:c>
      <x:c r="C177" s="36" t="n">
        <x:v>2015</x:v>
      </x:c>
      <x:c r="D177" s="37" t="str">
        <x:v>Earl Sweatshirt</x:v>
      </x:c>
      <x:c r="E177" s="37" t="str">
        <x:v>Grief</x:v>
      </x:c>
      <x:c r="F177" s="37" t="str">
        <x:v>Grief</x:v>
      </x:c>
      <x:c r="G177" s="37" t="str">
        <x:v>Earl Sweatshirt</x:v>
      </x:c>
      <x:c r="H177" s="37" t="str">
        <x:v>2015-03-23</x:v>
      </x:c>
      <x:c r="I177" s="37" t="n">
        <x:v>0</x:v>
      </x:c>
      <x:c r="J177" s="37" t="str">
        <x:v>https://musicbrainz.org/recording/bdf84d95-ff70-44ed-bae4-b5fea3f6503c</x:v>
      </x:c>
      <x:c r="K177" s="37" t="str">
        <x:v>https://musicbrainz.org/ws/2/recording/?query=recording%3A%22Grief%22+AND+artist%3A%22Earl+Sweatshirt%22&amp;fmt=json&amp;limit=8</x:v>
      </x:c>
      <x:c r="L177" s="37" t="str">
        <x:v>Candidate discovery only; does not verify the intended version</x:v>
      </x:c>
    </x:row>
    <x:row r="178">
      <x:c r="A178" s="36" t="n">
        <x:v>177</x:v>
      </x:c>
      <x:c r="B178" s="36" t="str">
        <x:v>candidate_found</x:v>
      </x:c>
      <x:c r="C178" s="36" t="n">
        <x:v>2015</x:v>
      </x:c>
      <x:c r="D178" s="37" t="str">
        <x:v>Vince Staples</x:v>
      </x:c>
      <x:c r="E178" s="37" t="str">
        <x:v>Norf Norf</x:v>
      </x:c>
      <x:c r="F178" s="37" t="str">
        <x:v>Norf Norf</x:v>
      </x:c>
      <x:c r="G178" s="37" t="str">
        <x:v>Vince Staples</x:v>
      </x:c>
      <x:c r="H178" s="37" t="str">
        <x:v>2014</x:v>
      </x:c>
      <x:c r="I178" s="37" t="n">
        <x:v>1</x:v>
      </x:c>
      <x:c r="J178" s="37" t="str">
        <x:v>https://musicbrainz.org/recording/9c649ce0-ea55-44f6-b84f-974c997c36ee</x:v>
      </x:c>
      <x:c r="K178" s="37" t="str">
        <x:v>https://musicbrainz.org/ws/2/recording/?query=recording%3A%22Norf+Norf%22+AND+artist%3A%22Vince+Staples%22&amp;fmt=json&amp;limit=8</x:v>
      </x:c>
      <x:c r="L178" s="37" t="str">
        <x:v>Candidate discovery only; does not verify the intended version</x:v>
      </x:c>
    </x:row>
    <x:row r="179">
      <x:c r="A179" s="36" t="n">
        <x:v>178</x:v>
      </x:c>
      <x:c r="B179" s="36" t="str">
        <x:v>candidate_found</x:v>
      </x:c>
      <x:c r="C179" s="36" t="n">
        <x:v>2016</x:v>
      </x:c>
      <x:c r="D179" s="37" t="str">
        <x:v>Rapsody</x:v>
      </x:c>
      <x:c r="E179" s="37" t="str">
        <x:v>Crown</x:v>
      </x:c>
      <x:c r="F179" s="37" t="str">
        <x:v>Crown</x:v>
      </x:c>
      <x:c r="G179" s="37" t="str">
        <x:v>Rapsody</x:v>
      </x:c>
      <x:c r="H179" s="37" t="str">
        <x:v>2016-11-16</x:v>
      </x:c>
      <x:c r="I179" s="37" t="n">
        <x:v>0</x:v>
      </x:c>
      <x:c r="J179" s="37" t="str">
        <x:v>https://musicbrainz.org/recording/74167677-2628-4181-895d-c344ad0898bf</x:v>
      </x:c>
      <x:c r="K179" s="37" t="str">
        <x:v>https://musicbrainz.org/ws/2/recording/?query=recording%3A%22Crown%22+AND+artist%3A%22Rapsody%22&amp;fmt=json&amp;limit=8</x:v>
      </x:c>
      <x:c r="L179" s="37" t="str">
        <x:v>Candidate discovery only; does not verify the intended version</x:v>
      </x:c>
    </x:row>
    <x:row r="180">
      <x:c r="A180" s="36" t="n">
        <x:v>179</x:v>
      </x:c>
      <x:c r="B180" s="36" t="str">
        <x:v>candidate_found</x:v>
      </x:c>
      <x:c r="C180" s="36" t="n">
        <x:v>2014</x:v>
      </x:c>
      <x:c r="D180" s="37" t="str">
        <x:v>J. Cole</x:v>
      </x:c>
      <x:c r="E180" s="37" t="str">
        <x:v>Love Yourz</x:v>
      </x:c>
      <x:c r="F180" s="37" t="str">
        <x:v>Love Yourz</x:v>
      </x:c>
      <x:c r="G180" s="37" t="str">
        <x:v>J. Cole</x:v>
      </x:c>
      <x:c r="H180" s="37" t="str">
        <x:v>2014-09-14</x:v>
      </x:c>
      <x:c r="I180" s="37" t="n">
        <x:v>0</x:v>
      </x:c>
      <x:c r="J180" s="37" t="str">
        <x:v>https://musicbrainz.org/recording/42600c98-f2e7-44d5-a90a-ee02f1a149c5</x:v>
      </x:c>
      <x:c r="K180" s="37" t="str">
        <x:v>https://musicbrainz.org/ws/2/recording/?query=recording%3A%22Love+Yourz%22+AND+artist%3A%22J.+Cole%22&amp;fmt=json&amp;limit=8</x:v>
      </x:c>
      <x:c r="L180" s="37" t="str">
        <x:v>Candidate discovery only; does not verify the intended version</x:v>
      </x:c>
    </x:row>
    <x:row r="181">
      <x:c r="A181" s="36" t="n">
        <x:v>180</x:v>
      </x:c>
      <x:c r="B181" s="36" t="str">
        <x:v>candidate_found</x:v>
      </x:c>
      <x:c r="C181" s="36" t="n">
        <x:v>2011</x:v>
      </x:c>
      <x:c r="D181" s="37" t="str">
        <x:v>Azealia Banks featuring Lazy Jay</x:v>
      </x:c>
      <x:c r="E181" s="37" t="str">
        <x:v>212</x:v>
      </x:c>
      <x:c r="F181" s="37" t="str">
        <x:v>212 (Clean)</x:v>
      </x:c>
      <x:c r="G181" s="37" t="str">
        <x:v>Azealia Banks</x:v>
      </x:c>
      <x:c r="H181" s="37" t="str">
        <x:v>2012</x:v>
      </x:c>
      <x:c r="I181" s="37" t="n">
        <x:v>1</x:v>
      </x:c>
      <x:c r="J181" s="37" t="str">
        <x:v>https://musicbrainz.org/recording/ff5cfa36-366f-4520-915f-0f528210d320</x:v>
      </x:c>
      <x:c r="K181" s="37" t="str">
        <x:v>https://musicbrainz.org/ws/2/recording/?query=recording%3A%22212%22+AND+artist%3A%22Azealia+Banks%22&amp;fmt=json&amp;limit=8</x:v>
      </x:c>
      <x:c r="L181" s="37" t="str">
        <x:v>Candidate discovery only; does not verify the intended version</x:v>
      </x:c>
    </x:row>
    <x:row r="182">
      <x:c r="A182" s="36" t="n">
        <x:v>181</x:v>
      </x:c>
      <x:c r="B182" s="36" t="str">
        <x:v>candidate_found</x:v>
      </x:c>
      <x:c r="C182" s="36" t="n">
        <x:v>2015</x:v>
      </x:c>
      <x:c r="D182" s="37" t="str">
        <x:v>Skepta</x:v>
      </x:c>
      <x:c r="E182" s="37" t="str">
        <x:v>Shutdown</x:v>
      </x:c>
      <x:c r="F182" s="37" t="str">
        <x:v>Shutdown</x:v>
      </x:c>
      <x:c r="G182" s="37" t="str">
        <x:v>Skepta</x:v>
      </x:c>
      <x:c r="H182" s="37" t="str">
        <x:v>2015-04-26</x:v>
      </x:c>
      <x:c r="I182" s="37" t="n">
        <x:v>0</x:v>
      </x:c>
      <x:c r="J182" s="37" t="str">
        <x:v>https://musicbrainz.org/recording/bb138d71-b434-4e87-9478-dd357776003b</x:v>
      </x:c>
      <x:c r="K182" s="37" t="str">
        <x:v>https://musicbrainz.org/ws/2/recording/?query=recording%3A%22Shutdown%22+AND+artist%3A%22Skepta%22&amp;fmt=json&amp;limit=8</x:v>
      </x:c>
      <x:c r="L182" s="37" t="str">
        <x:v>Candidate discovery only; does not verify the intended version</x:v>
      </x:c>
    </x:row>
    <x:row r="183">
      <x:c r="A183" s="36" t="n">
        <x:v>182</x:v>
      </x:c>
      <x:c r="B183" s="36" t="str">
        <x:v>no_candidate</x:v>
      </x:c>
      <x:c r="C183" s="36" t="n">
        <x:v>2012</x:v>
      </x:c>
      <x:c r="D183" s="37" t="str">
        <x:v>Canserbero</x:v>
      </x:c>
      <x:c r="E183" s="37" t="str">
        <x:v>Jeremías 17:5</x:v>
      </x:c>
      <x:c r="F183" s="37" t="str"/>
      <x:c r="G183" s="37" t="str"/>
      <x:c r="H183" s="37" t="str"/>
      <x:c r="I183" s="37"/>
      <x:c r="J183" s="37" t="str"/>
      <x:c r="K183" s="37" t="str">
        <x:v>https://musicbrainz.org/ws/2/recording/?query=recording%3A%22Jerem%C3%ADas+17%3A5%22+AND+artist%3A%22Canserbero%22&amp;fmt=json&amp;limit=8</x:v>
      </x:c>
      <x:c r="L183" s="37" t="str">
        <x:v>Candidate discovery only; does not verify the intended version</x:v>
      </x:c>
    </x:row>
    <x:row r="184">
      <x:c r="A184" s="36" t="n">
        <x:v>183</x:v>
      </x:c>
      <x:c r="B184" s="36" t="str">
        <x:v>candidate_found</x:v>
      </x:c>
      <x:c r="C184" s="36" t="n">
        <x:v>2015</x:v>
      </x:c>
      <x:c r="D184" s="37" t="str">
        <x:v>PNL</x:v>
      </x:c>
      <x:c r="E184" s="37" t="str">
        <x:v>Le monde ou rien</x:v>
      </x:c>
      <x:c r="F184" s="37" t="str">
        <x:v>Le monde ou rien</x:v>
      </x:c>
      <x:c r="G184" s="37" t="str">
        <x:v>PNL</x:v>
      </x:c>
      <x:c r="H184" s="37" t="str">
        <x:v>2015-10-30</x:v>
      </x:c>
      <x:c r="I184" s="37" t="n">
        <x:v>0</x:v>
      </x:c>
      <x:c r="J184" s="37" t="str">
        <x:v>https://musicbrainz.org/recording/9f511e90-11ec-431c-a2fc-599bb8f5d459</x:v>
      </x:c>
      <x:c r="K184" s="37" t="str">
        <x:v>https://musicbrainz.org/ws/2/recording/?query=recording%3A%22Le+monde+ou+rien%22+AND+artist%3A%22PNL%22&amp;fmt=json&amp;limit=8</x:v>
      </x:c>
      <x:c r="L184" s="37" t="str">
        <x:v>Candidate discovery only; does not verify the intended version</x:v>
      </x:c>
    </x:row>
    <x:row r="185">
      <x:c r="A185" s="36" t="n">
        <x:v>184</x:v>
      </x:c>
      <x:c r="B185" s="36" t="str">
        <x:v>candidate_found</x:v>
      </x:c>
      <x:c r="C185" s="36" t="n">
        <x:v>2011</x:v>
      </x:c>
      <x:c r="D185" s="37" t="str">
        <x:v>Tyler, the Creator</x:v>
      </x:c>
      <x:c r="E185" s="37" t="str">
        <x:v>Yonkers</x:v>
      </x:c>
      <x:c r="F185" s="37" t="str">
        <x:v>Yonkers</x:v>
      </x:c>
      <x:c r="G185" s="37" t="str">
        <x:v>Tyler, The Creator</x:v>
      </x:c>
      <x:c r="H185" s="37" t="str">
        <x:v>2011-02-15</x:v>
      </x:c>
      <x:c r="I185" s="37" t="n">
        <x:v>0</x:v>
      </x:c>
      <x:c r="J185" s="37" t="str">
        <x:v>https://musicbrainz.org/recording/07520c4d-77cd-4d91-a3c4-7c9d476cab87</x:v>
      </x:c>
      <x:c r="K185" s="37" t="str">
        <x:v>https://musicbrainz.org/ws/2/recording/?query=recording%3A%22Yonkers%22+AND+artist%3A%22Tyler%2C+the+Creator%22&amp;fmt=json&amp;limit=8</x:v>
      </x:c>
      <x:c r="L185" s="37" t="str">
        <x:v>Candidate discovery only; does not verify the intended version</x:v>
      </x:c>
    </x:row>
    <x:row r="186">
      <x:c r="A186" s="36" t="n">
        <x:v>185</x:v>
      </x:c>
      <x:c r="B186" s="36" t="str">
        <x:v>candidate_found</x:v>
      </x:c>
      <x:c r="C186" s="36" t="n">
        <x:v>2016</x:v>
      </x:c>
      <x:c r="D186" s="37" t="str">
        <x:v>Okmalumkoolkat</x:v>
      </x:c>
      <x:c r="E186" s="37" t="str">
        <x:v>Gqi</x:v>
      </x:c>
      <x:c r="F186" s="37" t="str">
        <x:v>Gqi</x:v>
      </x:c>
      <x:c r="G186" s="37" t="str">
        <x:v>OkmalumkoolkatAmadondo</x:v>
      </x:c>
      <x:c r="H186" s="37" t="str">
        <x:v>2016-12-23</x:v>
      </x:c>
      <x:c r="I186" s="37" t="n">
        <x:v>0</x:v>
      </x:c>
      <x:c r="J186" s="37" t="str">
        <x:v>https://musicbrainz.org/recording/517e7334-c5df-4375-98df-6a7e9deba8f9</x:v>
      </x:c>
      <x:c r="K186" s="37" t="str">
        <x:v>https://musicbrainz.org/ws/2/recording/?query=recording%3A%22Gqi%22+AND+artist%3A%22Okmalumkoolkat%22&amp;fmt=json&amp;limit=8</x:v>
      </x:c>
      <x:c r="L186" s="37" t="str">
        <x:v>Candidate discovery only; does not verify the intended version</x:v>
      </x:c>
    </x:row>
    <x:row r="187">
      <x:c r="A187" s="36" t="n">
        <x:v>186</x:v>
      </x:c>
      <x:c r="B187" s="36" t="str">
        <x:v>candidate_found</x:v>
      </x:c>
      <x:c r="C187" s="36" t="n">
        <x:v>2015</x:v>
      </x:c>
      <x:c r="D187" s="37" t="str">
        <x:v>Keith Ape featuring JayAllDay Loota Okasian and Kohh</x:v>
      </x:c>
      <x:c r="E187" s="37" t="str">
        <x:v>It G Ma</x:v>
      </x:c>
      <x:c r="F187" s="37" t="str">
        <x:v>It G Ma</x:v>
      </x:c>
      <x:c r="G187" s="37" t="str">
        <x:v>Keith ApeJayAllDaylootaOkasianKOHH</x:v>
      </x:c>
      <x:c r="H187" s="37" t="str">
        <x:v>2015-06-30</x:v>
      </x:c>
      <x:c r="I187" s="37" t="n">
        <x:v>0</x:v>
      </x:c>
      <x:c r="J187" s="37" t="str">
        <x:v>https://musicbrainz.org/recording/702412e3-2647-48e8-919f-c17219bf39a2</x:v>
      </x:c>
      <x:c r="K187" s="37" t="str">
        <x:v>https://musicbrainz.org/ws/2/recording/?query=recording%3A%22It+G+Ma%22+AND+artist%3A%22Keith+Ape%22&amp;fmt=json&amp;limit=8</x:v>
      </x:c>
      <x:c r="L187" s="37" t="str">
        <x:v>Candidate discovery only; does not verify the intended version</x:v>
      </x:c>
    </x:row>
    <x:row r="188">
      <x:c r="A188" s="36" t="n">
        <x:v>187</x:v>
      </x:c>
      <x:c r="B188" s="36" t="str">
        <x:v>candidate_found</x:v>
      </x:c>
      <x:c r="C188" s="36" t="n">
        <x:v>2016</x:v>
      </x:c>
      <x:c r="D188" s="37" t="str">
        <x:v>XXXTentacion</x:v>
      </x:c>
      <x:c r="E188" s="37" t="str">
        <x:v>Look at Me!</x:v>
      </x:c>
      <x:c r="F188" s="37" t="str">
        <x:v>Look at Me!</x:v>
      </x:c>
      <x:c r="G188" s="37" t="str">
        <x:v>XXXTENTACION</x:v>
      </x:c>
      <x:c r="H188" s="37" t="str">
        <x:v>2016-01-29</x:v>
      </x:c>
      <x:c r="I188" s="37" t="n">
        <x:v>0</x:v>
      </x:c>
      <x:c r="J188" s="37" t="str">
        <x:v>https://musicbrainz.org/recording/de92c98a-c725-4612-a1e3-2b87d2405b48</x:v>
      </x:c>
      <x:c r="K188" s="37" t="str">
        <x:v>https://musicbrainz.org/ws/2/recording/?query=recording%3A%22Look+at+Me%21%22+AND+artist%3A%22XXXTentacion%22&amp;fmt=json&amp;limit=8</x:v>
      </x:c>
      <x:c r="L188" s="37" t="str">
        <x:v>Candidate discovery only; does not verify the intended version</x:v>
      </x:c>
    </x:row>
    <x:row r="189">
      <x:c r="A189" s="36" t="n">
        <x:v>188</x:v>
      </x:c>
      <x:c r="B189" s="36" t="str">
        <x:v>candidate_found</x:v>
      </x:c>
      <x:c r="C189" s="36" t="n">
        <x:v>2017</x:v>
      </x:c>
      <x:c r="D189" s="37" t="str">
        <x:v>Lil Uzi Vert</x:v>
      </x:c>
      <x:c r="E189" s="37" t="str">
        <x:v>XO TOUR Llif3</x:v>
      </x:c>
      <x:c r="F189" s="37" t="str">
        <x:v>XO TOUR Llif3</x:v>
      </x:c>
      <x:c r="G189" s="37" t="str">
        <x:v>Lil Uzi Vert</x:v>
      </x:c>
      <x:c r="H189" s="37" t="str">
        <x:v>2017-03-24</x:v>
      </x:c>
      <x:c r="I189" s="37" t="n">
        <x:v>0</x:v>
      </x:c>
      <x:c r="J189" s="37" t="str">
        <x:v>https://musicbrainz.org/recording/d2c4c05c-acfe-46c2-a46c-7950dca19d93</x:v>
      </x:c>
      <x:c r="K189" s="37" t="str">
        <x:v>https://musicbrainz.org/ws/2/recording/?query=recording%3A%22XO+TOUR+Llif3%22+AND+artist%3A%22Lil+Uzi+Vert%22&amp;fmt=json&amp;limit=8</x:v>
      </x:c>
      <x:c r="L189" s="37" t="str">
        <x:v>Candidate discovery only; does not verify the intended version</x:v>
      </x:c>
    </x:row>
    <x:row r="190">
      <x:c r="A190" s="36" t="n">
        <x:v>189</x:v>
      </x:c>
      <x:c r="B190" s="36" t="str">
        <x:v>candidate_found</x:v>
      </x:c>
      <x:c r="C190" s="36" t="n">
        <x:v>2017</x:v>
      </x:c>
      <x:c r="D190" s="37" t="str">
        <x:v>Playboi Carti</x:v>
      </x:c>
      <x:c r="E190" s="37" t="str">
        <x:v>Magnolia</x:v>
      </x:c>
      <x:c r="F190" s="37" t="str">
        <x:v>Magnolia</x:v>
      </x:c>
      <x:c r="G190" s="37" t="str">
        <x:v>Playboi Carti</x:v>
      </x:c>
      <x:c r="H190" s="37" t="str">
        <x:v>2017-04-14</x:v>
      </x:c>
      <x:c r="I190" s="37" t="n">
        <x:v>0</x:v>
      </x:c>
      <x:c r="J190" s="37" t="str">
        <x:v>https://musicbrainz.org/recording/75a38235-5db3-4545-bd4c-e4de9baee068</x:v>
      </x:c>
      <x:c r="K190" s="37" t="str">
        <x:v>https://musicbrainz.org/ws/2/recording/?query=recording%3A%22Magnolia%22+AND+artist%3A%22Playboi+Carti%22&amp;fmt=json&amp;limit=8</x:v>
      </x:c>
      <x:c r="L190" s="37" t="str">
        <x:v>Candidate discovery only; does not verify the intended version</x:v>
      </x:c>
    </x:row>
    <x:row r="191">
      <x:c r="A191" s="36" t="n">
        <x:v>190</x:v>
      </x:c>
      <x:c r="B191" s="36" t="str">
        <x:v>candidate_found</x:v>
      </x:c>
      <x:c r="C191" s="36" t="n">
        <x:v>2017</x:v>
      </x:c>
      <x:c r="D191" s="37" t="str">
        <x:v>Juice WRLD</x:v>
      </x:c>
      <x:c r="E191" s="37" t="str">
        <x:v>Lucid Dreams</x:v>
      </x:c>
      <x:c r="F191" s="37" t="str">
        <x:v>Lucid Dreams</x:v>
      </x:c>
      <x:c r="G191" s="37" t="str">
        <x:v>Juice WRLD</x:v>
      </x:c>
      <x:c r="H191" s="37" t="str">
        <x:v>2017-06-15</x:v>
      </x:c>
      <x:c r="I191" s="37" t="n">
        <x:v>0</x:v>
      </x:c>
      <x:c r="J191" s="37" t="str">
        <x:v>https://musicbrainz.org/recording/19c232bc-1960-4df2-bbc9-7742b7180a7f</x:v>
      </x:c>
      <x:c r="K191" s="37" t="str">
        <x:v>https://musicbrainz.org/ws/2/recording/?query=recording%3A%22Lucid+Dreams%22+AND+artist%3A%22Juice+WRLD%22&amp;fmt=json&amp;limit=8</x:v>
      </x:c>
      <x:c r="L191" s="37" t="str">
        <x:v>Candidate discovery only; does not verify the intended version</x:v>
      </x:c>
    </x:row>
    <x:row r="192">
      <x:c r="A192" s="36" t="n">
        <x:v>191</x:v>
      </x:c>
      <x:c r="B192" s="36" t="str">
        <x:v>candidate_found</x:v>
      </x:c>
      <x:c r="C192" s="36" t="n">
        <x:v>2017</x:v>
      </x:c>
      <x:c r="D192" s="37" t="str">
        <x:v>Lil Peep</x:v>
      </x:c>
      <x:c r="E192" s="37" t="str">
        <x:v>Benz Truck (гелик)</x:v>
      </x:c>
      <x:c r="F192" s="37" t="str">
        <x:v>Benz Truck (гелик)</x:v>
      </x:c>
      <x:c r="G192" s="37" t="str">
        <x:v>Lil Peep</x:v>
      </x:c>
      <x:c r="H192" s="37" t="str">
        <x:v>2017-06-09</x:v>
      </x:c>
      <x:c r="I192" s="37" t="n">
        <x:v>0</x:v>
      </x:c>
      <x:c r="J192" s="37" t="str">
        <x:v>https://musicbrainz.org/recording/60871e52-3627-4c18-9965-2befa01bb024</x:v>
      </x:c>
      <x:c r="K192" s="37" t="str">
        <x:v>https://musicbrainz.org/ws/2/recording/?query=recording%3A%22Benz+Truck+%28%D0%B3%D0%B5%D0%BB%D0%B8%D0%BA%29%22+AND+artist%3A%22Lil+Peep%22&amp;fmt=json&amp;limit=8</x:v>
      </x:c>
      <x:c r="L192" s="37" t="str">
        <x:v>Candidate discovery only; does not verify the intended version</x:v>
      </x:c>
    </x:row>
    <x:row r="193">
      <x:c r="A193" s="36" t="n">
        <x:v>192</x:v>
      </x:c>
      <x:c r="B193" s="36" t="str">
        <x:v>candidate_found</x:v>
      </x:c>
      <x:c r="C193" s="36" t="n">
        <x:v>2016</x:v>
      </x:c>
      <x:c r="D193" s="37" t="str">
        <x:v>Travis Scott featuring Kendrick Lamar</x:v>
      </x:c>
      <x:c r="E193" s="37" t="str">
        <x:v>goosebumps</x:v>
      </x:c>
      <x:c r="F193" s="37" t="str">
        <x:v>goosebumps</x:v>
      </x:c>
      <x:c r="G193" s="37" t="str">
        <x:v>Travis ScottKendrick Lamar</x:v>
      </x:c>
      <x:c r="H193" s="37" t="str">
        <x:v>2016-09-02</x:v>
      </x:c>
      <x:c r="I193" s="37" t="n">
        <x:v>0</x:v>
      </x:c>
      <x:c r="J193" s="37" t="str">
        <x:v>https://musicbrainz.org/recording/05b394e8-3b2c-4cc4-9a2c-cbe2814d362c</x:v>
      </x:c>
      <x:c r="K193" s="37" t="str">
        <x:v>https://musicbrainz.org/ws/2/recording/?query=recording%3A%22goosebumps%22+AND+artist%3A%22Travis+Scott%22&amp;fmt=json&amp;limit=8</x:v>
      </x:c>
      <x:c r="L193" s="37" t="str">
        <x:v>Candidate discovery only; does not verify the intended version</x:v>
      </x:c>
    </x:row>
    <x:row r="194">
      <x:c r="A194" s="36" t="n">
        <x:v>193</x:v>
      </x:c>
      <x:c r="B194" s="36" t="str">
        <x:v>candidate_found</x:v>
      </x:c>
      <x:c r="C194" s="36" t="n">
        <x:v>2018</x:v>
      </x:c>
      <x:c r="D194" s="37" t="str">
        <x:v>Noname</x:v>
      </x:c>
      <x:c r="E194" s="37" t="str">
        <x:v>Blaxploitation</x:v>
      </x:c>
      <x:c r="F194" s="37" t="str">
        <x:v>Blaxploitation</x:v>
      </x:c>
      <x:c r="G194" s="37" t="str">
        <x:v>Noname</x:v>
      </x:c>
      <x:c r="H194" s="37" t="str">
        <x:v>2018-09-14</x:v>
      </x:c>
      <x:c r="I194" s="37" t="n">
        <x:v>0</x:v>
      </x:c>
      <x:c r="J194" s="37" t="str">
        <x:v>https://musicbrainz.org/recording/6f47c710-4e86-4821-b2b7-c5e90c5da127</x:v>
      </x:c>
      <x:c r="K194" s="37" t="str">
        <x:v>https://musicbrainz.org/ws/2/recording/?query=recording%3A%22Blaxploitation%22+AND+artist%3A%22Noname%22&amp;fmt=json&amp;limit=8</x:v>
      </x:c>
      <x:c r="L194" s="37" t="str">
        <x:v>Candidate discovery only; does not verify the intended version</x:v>
      </x:c>
    </x:row>
    <x:row r="195">
      <x:c r="A195" s="36" t="n">
        <x:v>194</x:v>
      </x:c>
      <x:c r="B195" s="36" t="str">
        <x:v>candidate_found</x:v>
      </x:c>
      <x:c r="C195" s="36" t="n">
        <x:v>2019</x:v>
      </x:c>
      <x:c r="D195" s="37" t="str">
        <x:v>Tierra Whack</x:v>
      </x:c>
      <x:c r="E195" s="37" t="str">
        <x:v>Unemployed</x:v>
      </x:c>
      <x:c r="F195" s="37" t="str">
        <x:v>Unemployed</x:v>
      </x:c>
      <x:c r="G195" s="37" t="str">
        <x:v>Tierra Whack</x:v>
      </x:c>
      <x:c r="H195" s="37" t="str">
        <x:v>2019-03-19</x:v>
      </x:c>
      <x:c r="I195" s="37" t="n">
        <x:v>0</x:v>
      </x:c>
      <x:c r="J195" s="37" t="str">
        <x:v>https://musicbrainz.org/recording/f86e9d1d-4978-438d-a695-ef50d43e332b</x:v>
      </x:c>
      <x:c r="K195" s="37" t="str">
        <x:v>https://musicbrainz.org/ws/2/recording/?query=recording%3A%22Unemployed%22+AND+artist%3A%22Tierra+Whack%22&amp;fmt=json&amp;limit=8</x:v>
      </x:c>
      <x:c r="L195" s="37" t="str">
        <x:v>Candidate discovery only; does not verify the intended version</x:v>
      </x:c>
    </x:row>
    <x:row r="196">
      <x:c r="A196" s="36" t="n">
        <x:v>195</x:v>
      </x:c>
      <x:c r="B196" s="36" t="str">
        <x:v>candidate_found</x:v>
      </x:c>
      <x:c r="C196" s="36" t="n">
        <x:v>2016</x:v>
      </x:c>
      <x:c r="D196" s="37" t="str">
        <x:v>Young M.A</x:v>
      </x:c>
      <x:c r="E196" s="37" t="str">
        <x:v>OOOUUU</x:v>
      </x:c>
      <x:c r="F196" s="37" t="str">
        <x:v>OOOUUU</x:v>
      </x:c>
      <x:c r="G196" s="37" t="str">
        <x:v>Young M.A</x:v>
      </x:c>
      <x:c r="H196" s="37" t="str">
        <x:v>2016-05-20</x:v>
      </x:c>
      <x:c r="I196" s="37" t="n">
        <x:v>0</x:v>
      </x:c>
      <x:c r="J196" s="37" t="str">
        <x:v>https://musicbrainz.org/recording/ff740487-b0cd-44b4-9d3a-5261f47737da</x:v>
      </x:c>
      <x:c r="K196" s="37" t="str">
        <x:v>https://musicbrainz.org/ws/2/recording/?query=recording%3A%22OOOUUU%22+AND+artist%3A%22Young+M.A%22&amp;fmt=json&amp;limit=8</x:v>
      </x:c>
      <x:c r="L196" s="37" t="str">
        <x:v>Candidate discovery only; does not verify the intended version</x:v>
      </x:c>
    </x:row>
    <x:row r="197">
      <x:c r="A197" s="36" t="n">
        <x:v>196</x:v>
      </x:c>
      <x:c r="B197" s="36" t="str">
        <x:v>candidate_found</x:v>
      </x:c>
      <x:c r="C197" s="36" t="n">
        <x:v>2019</x:v>
      </x:c>
      <x:c r="D197" s="37" t="str">
        <x:v>Dave</x:v>
      </x:c>
      <x:c r="E197" s="37" t="str">
        <x:v>Black</x:v>
      </x:c>
      <x:c r="F197" s="37" t="str">
        <x:v>Black</x:v>
      </x:c>
      <x:c r="G197" s="37" t="str">
        <x:v>Dave</x:v>
      </x:c>
      <x:c r="H197" s="37" t="str">
        <x:v>2019-02-21</x:v>
      </x:c>
      <x:c r="I197" s="37" t="n">
        <x:v>0</x:v>
      </x:c>
      <x:c r="J197" s="37" t="str">
        <x:v>https://musicbrainz.org/recording/6e291e1f-0dc3-4e7e-8f8b-1cd9f89cd966</x:v>
      </x:c>
      <x:c r="K197" s="37" t="str">
        <x:v>https://musicbrainz.org/ws/2/recording/?query=recording%3A%22Black%22+AND+artist%3A%22Dave%22&amp;fmt=json&amp;limit=8</x:v>
      </x:c>
      <x:c r="L197" s="37" t="str">
        <x:v>Candidate discovery only; does not verify the intended version</x:v>
      </x:c>
    </x:row>
    <x:row r="198">
      <x:c r="A198" s="36" t="n">
        <x:v>197</x:v>
      </x:c>
      <x:c r="B198" s="36" t="str">
        <x:v>candidate_found</x:v>
      </x:c>
      <x:c r="C198" s="36" t="n">
        <x:v>2019</x:v>
      </x:c>
      <x:c r="D198" s="37" t="str">
        <x:v>Little Simz</x:v>
      </x:c>
      <x:c r="E198" s="37" t="str">
        <x:v>Venom</x:v>
      </x:c>
      <x:c r="F198" s="37" t="str">
        <x:v>Venom</x:v>
      </x:c>
      <x:c r="G198" s="37" t="str">
        <x:v>Little Simz</x:v>
      </x:c>
      <x:c r="H198" s="37" t="str">
        <x:v>2019-09-13</x:v>
      </x:c>
      <x:c r="I198" s="37" t="n">
        <x:v>0</x:v>
      </x:c>
      <x:c r="J198" s="37" t="str">
        <x:v>https://musicbrainz.org/recording/2472ebf2-e761-44b0-ac27-e88b83f0a429</x:v>
      </x:c>
      <x:c r="K198" s="37" t="str">
        <x:v>https://musicbrainz.org/ws/2/recording/?query=recording%3A%22Venom%22+AND+artist%3A%22Little+Simz%22&amp;fmt=json&amp;limit=8</x:v>
      </x:c>
      <x:c r="L198" s="37" t="str">
        <x:v>Candidate discovery only; does not verify the intended version</x:v>
      </x:c>
    </x:row>
    <x:row r="199">
      <x:c r="A199" s="36" t="n">
        <x:v>198</x:v>
      </x:c>
      <x:c r="B199" s="36" t="str">
        <x:v>candidate_found</x:v>
      </x:c>
      <x:c r="C199" s="36" t="n">
        <x:v>2017</x:v>
      </x:c>
      <x:c r="D199" s="37" t="str">
        <x:v>Cardi B</x:v>
      </x:c>
      <x:c r="E199" s="37" t="str">
        <x:v>Bodak Yellow</x:v>
      </x:c>
      <x:c r="F199" s="37" t="str">
        <x:v>Bodak Yellow</x:v>
      </x:c>
      <x:c r="G199" s="37" t="str">
        <x:v>Cardi B</x:v>
      </x:c>
      <x:c r="H199" s="37" t="str">
        <x:v>2018-03-12</x:v>
      </x:c>
      <x:c r="I199" s="37" t="n">
        <x:v>1</x:v>
      </x:c>
      <x:c r="J199" s="37" t="str">
        <x:v>https://musicbrainz.org/recording/91341a83-c7ba-4204-853d-46c74e3eab15</x:v>
      </x:c>
      <x:c r="K199" s="37" t="str">
        <x:v>https://musicbrainz.org/ws/2/recording/?query=recording%3A%22Bodak+Yellow%22+AND+artist%3A%22Cardi+B%22&amp;fmt=json&amp;limit=8</x:v>
      </x:c>
      <x:c r="L199" s="37" t="str">
        <x:v>Candidate discovery only; does not verify the intended version</x:v>
      </x:c>
    </x:row>
    <x:row r="200">
      <x:c r="A200" s="36" t="n">
        <x:v>199</x:v>
      </x:c>
      <x:c r="B200" s="36" t="str">
        <x:v>candidate_found</x:v>
      </x:c>
      <x:c r="C200" s="36" t="n">
        <x:v>2019</x:v>
      </x:c>
      <x:c r="D200" s="37" t="str">
        <x:v>Sampa the Great</x:v>
      </x:c>
      <x:c r="E200" s="37" t="str">
        <x:v>Final Form</x:v>
      </x:c>
      <x:c r="F200" s="37" t="str">
        <x:v>Final Form</x:v>
      </x:c>
      <x:c r="G200" s="37" t="str">
        <x:v>Sampa the Great</x:v>
      </x:c>
      <x:c r="H200" s="37" t="str">
        <x:v>2019-09-04</x:v>
      </x:c>
      <x:c r="I200" s="37" t="n">
        <x:v>0</x:v>
      </x:c>
      <x:c r="J200" s="37" t="str">
        <x:v>https://musicbrainz.org/recording/2046c50f-bb7f-4dee-8b5c-b7b80d45b3dc</x:v>
      </x:c>
      <x:c r="K200" s="37" t="str">
        <x:v>https://musicbrainz.org/ws/2/recording/?query=recording%3A%22Final+Form%22+AND+artist%3A%22Sampa+the+Great%22&amp;fmt=json&amp;limit=8</x:v>
      </x:c>
      <x:c r="L200" s="37" t="str">
        <x:v>Candidate discovery only; does not verify the intended version</x:v>
      </x:c>
    </x:row>
    <x:row r="201">
      <x:c r="A201" s="36" t="n">
        <x:v>200</x:v>
      </x:c>
      <x:c r="B201" s="36" t="str">
        <x:v>candidate_found</x:v>
      </x:c>
      <x:c r="C201" s="36" t="n">
        <x:v>2018</x:v>
      </x:c>
      <x:c r="D201" s="37" t="str">
        <x:v>Nasty C</x:v>
      </x:c>
      <x:c r="E201" s="37" t="str">
        <x:v>Strings and Bling</x:v>
      </x:c>
      <x:c r="F201" s="37" t="str">
        <x:v>Strings And Bling</x:v>
      </x:c>
      <x:c r="G201" s="37" t="str">
        <x:v>Nasty C</x:v>
      </x:c>
      <x:c r="H201" s="37" t="str">
        <x:v>2018-07-06</x:v>
      </x:c>
      <x:c r="I201" s="37" t="n">
        <x:v>0</x:v>
      </x:c>
      <x:c r="J201" s="37" t="str">
        <x:v>https://musicbrainz.org/recording/f45323a4-ee62-46c5-a550-6cc3d36f182f</x:v>
      </x:c>
      <x:c r="K201" s="37" t="str">
        <x:v>https://musicbrainz.org/ws/2/recording/?query=recording%3A%22Strings+and+Bling%22+AND+artist%3A%22Nasty+C%22&amp;fmt=json&amp;limit=8</x:v>
      </x:c>
      <x:c r="L201" s="37" t="str">
        <x:v>Candidate discovery only; does not verify the intended version</x:v>
      </x:c>
    </x:row>
    <x:row r="202">
      <x:c r="A202" s="36" t="n">
        <x:v>201</x:v>
      </x:c>
      <x:c r="B202" s="36" t="str">
        <x:v>candidate_found</x:v>
      </x:c>
      <x:c r="C202" s="36" t="n">
        <x:v>2019</x:v>
      </x:c>
      <x:c r="D202" s="37" t="str">
        <x:v>Pop Smoke</x:v>
      </x:c>
      <x:c r="E202" s="37" t="str">
        <x:v>Dior</x:v>
      </x:c>
      <x:c r="F202" s="37" t="str">
        <x:v>Dior</x:v>
      </x:c>
      <x:c r="G202" s="37" t="str">
        <x:v>Pop Smoke</x:v>
      </x:c>
      <x:c r="H202" s="37" t="str">
        <x:v>2019-07-26</x:v>
      </x:c>
      <x:c r="I202" s="37" t="n">
        <x:v>0</x:v>
      </x:c>
      <x:c r="J202" s="37" t="str">
        <x:v>https://musicbrainz.org/recording/b7d9decd-2730-4ef5-99b4-60b41f647cf8</x:v>
      </x:c>
      <x:c r="K202" s="37" t="str">
        <x:v>https://musicbrainz.org/ws/2/recording/?query=recording%3A%22Dior%22+AND+artist%3A%22Pop+Smoke%22&amp;fmt=json&amp;limit=8</x:v>
      </x:c>
      <x:c r="L202" s="37" t="str">
        <x:v>Candidate discovery only; does not verify the intended version</x:v>
      </x:c>
    </x:row>
    <x:row r="203">
      <x:c r="A203" s="36" t="n">
        <x:v>202</x:v>
      </x:c>
      <x:c r="B203" s="36" t="str">
        <x:v>candidate_found</x:v>
      </x:c>
      <x:c r="C203" s="36" t="n">
        <x:v>2016</x:v>
      </x:c>
      <x:c r="D203" s="37" t="str">
        <x:v>Mare Advertencia Lirika</x:v>
      </x:c>
      <x:c r="E203" s="37" t="str">
        <x:v>Libres y Vivas</x:v>
      </x:c>
      <x:c r="F203" s="37" t="str">
        <x:v>Libres y vivas</x:v>
      </x:c>
      <x:c r="G203" s="37" t="str">
        <x:v>Mare Advertencia Lírika</x:v>
      </x:c>
      <x:c r="H203" s="37" t="str">
        <x:v>2016</x:v>
      </x:c>
      <x:c r="I203" s="37" t="n">
        <x:v>0</x:v>
      </x:c>
      <x:c r="J203" s="37" t="str">
        <x:v>https://musicbrainz.org/recording/96981b30-dcb4-40a3-a276-6b733e5e320a</x:v>
      </x:c>
      <x:c r="K203" s="37" t="str">
        <x:v>https://musicbrainz.org/ws/2/recording/?query=recording%3A%22Libres+y+Vivas%22+AND+artist%3A%22Mare+Advertencia+Lirika%22&amp;fmt=json&amp;limit=8</x:v>
      </x:c>
      <x:c r="L203" s="37" t="str">
        <x:v>Candidate discovery only; does not verify the intended version</x:v>
      </x:c>
    </x:row>
    <x:row r="204">
      <x:c r="A204" s="36" t="n">
        <x:v>203</x:v>
      </x:c>
      <x:c r="B204" s="36" t="str">
        <x:v>candidate_found</x:v>
      </x:c>
      <x:c r="C204" s="36" t="n">
        <x:v>2023</x:v>
      </x:c>
      <x:c r="D204" s="37" t="str">
        <x:v>billy woods and Kenny Segal</x:v>
      </x:c>
      <x:c r="E204" s="37" t="str">
        <x:v>Soft Landing</x:v>
      </x:c>
      <x:c r="F204" s="37" t="str">
        <x:v>Soft Landing</x:v>
      </x:c>
      <x:c r="G204" s="37" t="str">
        <x:v>billy woodsKenny Segal</x:v>
      </x:c>
      <x:c r="H204" s="37" t="str">
        <x:v>2023-04-12</x:v>
      </x:c>
      <x:c r="I204" s="37" t="n">
        <x:v>0</x:v>
      </x:c>
      <x:c r="J204" s="37" t="str">
        <x:v>https://musicbrainz.org/recording/fd4dce74-ea00-405f-bf30-bab5b27ddfeb</x:v>
      </x:c>
      <x:c r="K204" s="37" t="str">
        <x:v>https://musicbrainz.org/ws/2/recording/?query=recording%3A%22Soft+Landing%22+AND+artist%3A%22billy+woods+and+Kenny+Segal%22&amp;fmt=json&amp;limit=8</x:v>
      </x:c>
      <x:c r="L204" s="37" t="str">
        <x:v>Candidate discovery only; does not verify the intended version</x:v>
      </x:c>
    </x:row>
    <x:row r="205">
      <x:c r="A205" s="36" t="n">
        <x:v>204</x:v>
      </x:c>
      <x:c r="B205" s="36" t="str">
        <x:v>candidate_found</x:v>
      </x:c>
      <x:c r="C205" s="36" t="n">
        <x:v>2020</x:v>
      </x:c>
      <x:c r="D205" s="37" t="str">
        <x:v>Boldy James and The Alchemist</x:v>
      </x:c>
      <x:c r="E205" s="37" t="str">
        <x:v>Brickmile to Montana</x:v>
      </x:c>
      <x:c r="F205" s="37" t="str">
        <x:v>Brickmile to Montana</x:v>
      </x:c>
      <x:c r="G205" s="37" t="str">
        <x:v>Boldy JamesThe AlchemistBenny the Butcher</x:v>
      </x:c>
      <x:c r="H205" s="37" t="str">
        <x:v>2021-08-13</x:v>
      </x:c>
      <x:c r="I205" s="37" t="n">
        <x:v>1</x:v>
      </x:c>
      <x:c r="J205" s="37" t="str">
        <x:v>https://musicbrainz.org/recording/62d5fa64-8135-4a68-9b25-71d3370b3ab4</x:v>
      </x:c>
      <x:c r="K205" s="37" t="str">
        <x:v>https://musicbrainz.org/ws/2/recording/?query=recording%3A%22Brickmile+to+Montana%22+AND+artist%3A%22Boldy+James+and+The+Alchemist%22&amp;fmt=json&amp;limit=8</x:v>
      </x:c>
      <x:c r="L205" s="37" t="str">
        <x:v>Candidate discovery only; does not verify the intended version</x:v>
      </x:c>
    </x:row>
    <x:row r="206">
      <x:c r="A206" s="36" t="n">
        <x:v>205</x:v>
      </x:c>
      <x:c r="B206" s="36" t="str">
        <x:v>candidate_found</x:v>
      </x:c>
      <x:c r="C206" s="36" t="n">
        <x:v>2022</x:v>
      </x:c>
      <x:c r="D206" s="37" t="str">
        <x:v>Kendrick Lamar</x:v>
      </x:c>
      <x:c r="E206" s="37" t="str">
        <x:v>The Heart Part 5</x:v>
      </x:c>
      <x:c r="F206" s="37" t="str">
        <x:v>The Heart, Part 5</x:v>
      </x:c>
      <x:c r="G206" s="37" t="str">
        <x:v>Kendrick Lamar</x:v>
      </x:c>
      <x:c r="H206" s="37" t="str">
        <x:v>2022-05-09</x:v>
      </x:c>
      <x:c r="I206" s="37" t="n">
        <x:v>0</x:v>
      </x:c>
      <x:c r="J206" s="37" t="str">
        <x:v>https://musicbrainz.org/recording/75f23da0-114a-4cc1-9d94-0ba018018a89</x:v>
      </x:c>
      <x:c r="K206" s="37" t="str">
        <x:v>https://musicbrainz.org/ws/2/recording/?query=recording%3A%22The+Heart+Part+5%22+AND+artist%3A%22Kendrick+Lamar%22&amp;fmt=json&amp;limit=8</x:v>
      </x:c>
      <x:c r="L206" s="37" t="str">
        <x:v>Candidate discovery only; does not verify the intended version</x:v>
      </x:c>
    </x:row>
    <x:row r="207">
      <x:c r="A207" s="36" t="n">
        <x:v>206</x:v>
      </x:c>
      <x:c r="B207" s="36" t="str">
        <x:v>candidate_found</x:v>
      </x:c>
      <x:c r="C207" s="36" t="n">
        <x:v>2022</x:v>
      </x:c>
      <x:c r="D207" s="37" t="str">
        <x:v>JID featuring Kenny Mason</x:v>
      </x:c>
      <x:c r="E207" s="37" t="str">
        <x:v>Dance Now</x:v>
      </x:c>
      <x:c r="F207" s="37" t="str">
        <x:v>Dance Now</x:v>
      </x:c>
      <x:c r="G207" s="37" t="str">
        <x:v>JIDKenny Mason</x:v>
      </x:c>
      <x:c r="H207" s="37" t="str">
        <x:v>2022-08-26</x:v>
      </x:c>
      <x:c r="I207" s="37" t="n">
        <x:v>0</x:v>
      </x:c>
      <x:c r="J207" s="37" t="str">
        <x:v>https://musicbrainz.org/recording/51283228-db70-4101-a48f-1e7322902b01</x:v>
      </x:c>
      <x:c r="K207" s="37" t="str">
        <x:v>https://musicbrainz.org/ws/2/recording/?query=recording%3A%22Dance+Now%22+AND+artist%3A%22JID%22&amp;fmt=json&amp;limit=8</x:v>
      </x:c>
      <x:c r="L207" s="37" t="str">
        <x:v>Candidate discovery only; does not verify the intended version</x:v>
      </x:c>
    </x:row>
    <x:row r="208">
      <x:c r="A208" s="36" t="n">
        <x:v>207</x:v>
      </x:c>
      <x:c r="B208" s="36" t="str">
        <x:v>candidate_found</x:v>
      </x:c>
      <x:c r="C208" s="36" t="n">
        <x:v>2024</x:v>
      </x:c>
      <x:c r="D208" s="37" t="str">
        <x:v>Doechii</x:v>
      </x:c>
      <x:c r="E208" s="37" t="str">
        <x:v>Nissan Altima</x:v>
      </x:c>
      <x:c r="F208" s="37" t="str">
        <x:v>NISSAN ALTIMA</x:v>
      </x:c>
      <x:c r="G208" s="37" t="str">
        <x:v>Doechii</x:v>
      </x:c>
      <x:c r="H208" s="37" t="str">
        <x:v>2024-08-30</x:v>
      </x:c>
      <x:c r="I208" s="37" t="n">
        <x:v>0</x:v>
      </x:c>
      <x:c r="J208" s="37" t="str">
        <x:v>https://musicbrainz.org/recording/c24f8a4a-456e-489c-8a6a-44ee1c8e39b8</x:v>
      </x:c>
      <x:c r="K208" s="37" t="str">
        <x:v>https://musicbrainz.org/ws/2/recording/?query=recording%3A%22Nissan+Altima%22+AND+artist%3A%22Doechii%22&amp;fmt=json&amp;limit=8</x:v>
      </x:c>
      <x:c r="L208" s="37" t="str">
        <x:v>Candidate discovery only; does not verify the intended version</x:v>
      </x:c>
    </x:row>
    <x:row r="209">
      <x:c r="A209" s="36" t="n">
        <x:v>208</x:v>
      </x:c>
      <x:c r="B209" s="36" t="str">
        <x:v>candidate_found</x:v>
      </x:c>
      <x:c r="C209" s="36" t="n">
        <x:v>2024</x:v>
      </x:c>
      <x:c r="D209" s="37" t="str">
        <x:v>Rapsody</x:v>
      </x:c>
      <x:c r="E209" s="37" t="str">
        <x:v>Asteroids</x:v>
      </x:c>
      <x:c r="F209" s="37" t="str">
        <x:v>Asteroids</x:v>
      </x:c>
      <x:c r="G209" s="37" t="str">
        <x:v>RapsodyHit‐Boy</x:v>
      </x:c>
      <x:c r="H209" s="37" t="str">
        <x:v>2024-05-17</x:v>
      </x:c>
      <x:c r="I209" s="37" t="n">
        <x:v>0</x:v>
      </x:c>
      <x:c r="J209" s="37" t="str">
        <x:v>https://musicbrainz.org/recording/617e5098-99f3-4339-b612-3f430f7029cc</x:v>
      </x:c>
      <x:c r="K209" s="37" t="str">
        <x:v>https://musicbrainz.org/ws/2/recording/?query=recording%3A%22Asteroids%22+AND+artist%3A%22Rapsody%22&amp;fmt=json&amp;limit=8</x:v>
      </x:c>
      <x:c r="L209" s="37" t="str">
        <x:v>Candidate discovery only; does not verify the intended version</x:v>
      </x:c>
    </x:row>
    <x:row r="210">
      <x:c r="A210" s="36" t="n">
        <x:v>209</x:v>
      </x:c>
      <x:c r="B210" s="36" t="str">
        <x:v>candidate_found</x:v>
      </x:c>
      <x:c r="C210" s="36" t="n">
        <x:v>2022</x:v>
      </x:c>
      <x:c r="D210" s="37" t="str">
        <x:v>MIKE</x:v>
      </x:c>
      <x:c r="E210" s="37" t="str">
        <x:v>Hunger</x:v>
      </x:c>
      <x:c r="F210" s="37" t="str">
        <x:v>Hunger</x:v>
      </x:c>
      <x:c r="G210" s="37" t="str">
        <x:v>MIKE</x:v>
      </x:c>
      <x:c r="H210" s="37" t="str">
        <x:v>2017-06-21</x:v>
      </x:c>
      <x:c r="I210" s="37" t="n">
        <x:v>5</x:v>
      </x:c>
      <x:c r="J210" s="37" t="str">
        <x:v>https://musicbrainz.org/recording/4321e4f7-72c3-42b2-8a0e-ae364cd27ef4</x:v>
      </x:c>
      <x:c r="K210" s="37" t="str">
        <x:v>https://musicbrainz.org/ws/2/recording/?query=recording%3A%22Hunger%22+AND+artist%3A%22MIKE%22&amp;fmt=json&amp;limit=8</x:v>
      </x:c>
      <x:c r="L210" s="37" t="str">
        <x:v>Candidate discovery only; does not verify the intended version</x:v>
      </x:c>
    </x:row>
    <x:row r="211">
      <x:c r="A211" s="36" t="n">
        <x:v>210</x:v>
      </x:c>
      <x:c r="B211" s="36" t="str">
        <x:v>candidate_found</x:v>
      </x:c>
      <x:c r="C211" s="36" t="n">
        <x:v>2021</x:v>
      </x:c>
      <x:c r="D211" s="37" t="str">
        <x:v>Babyface Ray</x:v>
      </x:c>
      <x:c r="E211" s="37" t="str">
        <x:v>Paperwork Party</x:v>
      </x:c>
      <x:c r="F211" s="37" t="str">
        <x:v>Paperwork Party</x:v>
      </x:c>
      <x:c r="G211" s="37" t="str">
        <x:v>Babyface Ray</x:v>
      </x:c>
      <x:c r="H211" s="37" t="str">
        <x:v>2020-04-17</x:v>
      </x:c>
      <x:c r="I211" s="37" t="n">
        <x:v>1</x:v>
      </x:c>
      <x:c r="J211" s="37" t="str">
        <x:v>https://musicbrainz.org/recording/a16b0b3d-adcb-4d94-92a1-e8845441866c</x:v>
      </x:c>
      <x:c r="K211" s="37" t="str">
        <x:v>https://musicbrainz.org/ws/2/recording/?query=recording%3A%22Paperwork+Party%22+AND+artist%3A%22Babyface+Ray%22&amp;fmt=json&amp;limit=8</x:v>
      </x:c>
      <x:c r="L211" s="37" t="str">
        <x:v>Candidate discovery only; does not verify the intended version</x:v>
      </x:c>
    </x:row>
    <x:row r="212">
      <x:c r="A212" s="36" t="n">
        <x:v>211</x:v>
      </x:c>
      <x:c r="B212" s="36" t="str">
        <x:v>candidate_found</x:v>
      </x:c>
      <x:c r="C212" s="36" t="n">
        <x:v>2021</x:v>
      </x:c>
      <x:c r="D212" s="37" t="str">
        <x:v>Yeat</x:v>
      </x:c>
      <x:c r="E212" s="37" t="str">
        <x:v>Gët Busy</x:v>
      </x:c>
      <x:c r="F212" s="37" t="str">
        <x:v>Gët Busy</x:v>
      </x:c>
      <x:c r="G212" s="37" t="str">
        <x:v>Yeat</x:v>
      </x:c>
      <x:c r="H212" s="37" t="str">
        <x:v>2021-09-01</x:v>
      </x:c>
      <x:c r="I212" s="37" t="n">
        <x:v>0</x:v>
      </x:c>
      <x:c r="J212" s="37" t="str">
        <x:v>https://musicbrainz.org/recording/db19df2b-564e-4112-b0d8-d2dbd067d1f0</x:v>
      </x:c>
      <x:c r="K212" s="37" t="str">
        <x:v>https://musicbrainz.org/ws/2/recording/?query=recording%3A%22G%C3%ABt+Busy%22+AND+artist%3A%22Yeat%22&amp;fmt=json&amp;limit=8</x:v>
      </x:c>
      <x:c r="L212" s="37" t="str">
        <x:v>Candidate discovery only; does not verify the intended version</x:v>
      </x:c>
    </x:row>
    <x:row r="213">
      <x:c r="A213" s="36" t="n">
        <x:v>212</x:v>
      </x:c>
      <x:c r="B213" s="36" t="str">
        <x:v>no_candidate</x:v>
      </x:c>
      <x:c r="C213" s="36" t="n">
        <x:v>2022</x:v>
      </x:c>
      <x:c r="D213" s="37" t="str">
        <x:v>GloRilla and Hitkidd</x:v>
      </x:c>
      <x:c r="E213" s="37" t="str">
        <x:v>F.N.F. (Let's Go)</x:v>
      </x:c>
      <x:c r="F213" s="37" t="str"/>
      <x:c r="G213" s="37" t="str"/>
      <x:c r="H213" s="37" t="str"/>
      <x:c r="I213" s="37"/>
      <x:c r="J213" s="37" t="str"/>
      <x:c r="K213" s="37" t="str">
        <x:v>https://musicbrainz.org/ws/2/recording/?query=recording%3A%22F.N.F.+%28Let%27s+Go%29%22+AND+artist%3A%22GloRilla+and+Hitkidd%22&amp;fmt=json&amp;limit=8</x:v>
      </x:c>
      <x:c r="L213" s="37" t="str">
        <x:v>Candidate discovery only; does not verify the intended version</x:v>
      </x:c>
    </x:row>
    <x:row r="214">
      <x:c r="A214" s="36" t="n">
        <x:v>213</x:v>
      </x:c>
      <x:c r="B214" s="36" t="str">
        <x:v>candidate_found</x:v>
      </x:c>
      <x:c r="C214" s="36" t="n">
        <x:v>2020</x:v>
      </x:c>
      <x:c r="D214" s="37" t="str">
        <x:v>Headie One featuring AJ Tracey and Stormzy</x:v>
      </x:c>
      <x:c r="E214" s="37" t="str">
        <x:v>Ain't It Different</x:v>
      </x:c>
      <x:c r="F214" s="37" t="str">
        <x:v>Ain’t It Different</x:v>
      </x:c>
      <x:c r="G214" s="37" t="str">
        <x:v>Headie OneAJ TraceyStormzy</x:v>
      </x:c>
      <x:c r="H214" s="37" t="str">
        <x:v>2020-08-19</x:v>
      </x:c>
      <x:c r="I214" s="37" t="n">
        <x:v>0</x:v>
      </x:c>
      <x:c r="J214" s="37" t="str">
        <x:v>https://musicbrainz.org/recording/02da71ec-9712-4012-8feb-d336a6858da5</x:v>
      </x:c>
      <x:c r="K214" s="37" t="str">
        <x:v>https://musicbrainz.org/ws/2/recording/?query=recording%3A%22Ain%27t+It+Different%22+AND+artist%3A%22Headie+One%22&amp;fmt=json&amp;limit=8</x:v>
      </x:c>
      <x:c r="L214" s="37" t="str">
        <x:v>Candidate discovery only; does not verify the intended version</x:v>
      </x:c>
    </x:row>
    <x:row r="215">
      <x:c r="A215" s="36" t="n">
        <x:v>214</x:v>
      </x:c>
      <x:c r="B215" s="36" t="str">
        <x:v>candidate_found</x:v>
      </x:c>
      <x:c r="C215" s="36" t="n">
        <x:v>2024</x:v>
      </x:c>
      <x:c r="D215" s="37" t="str">
        <x:v>Kneecap</x:v>
      </x:c>
      <x:c r="E215" s="37" t="str">
        <x:v>C.E.A.R.T.A.</x:v>
      </x:c>
      <x:c r="F215" s="37" t="str">
        <x:v>C.E.A.R.T.A</x:v>
      </x:c>
      <x:c r="G215" s="37" t="str">
        <x:v>KNEECAP</x:v>
      </x:c>
      <x:c r="H215" s="37" t="str">
        <x:v>2017</x:v>
      </x:c>
      <x:c r="I215" s="37" t="n">
        <x:v>7</x:v>
      </x:c>
      <x:c r="J215" s="37" t="str">
        <x:v>https://musicbrainz.org/recording/65161f21-ae51-48f4-84c0-2f7f53662081</x:v>
      </x:c>
      <x:c r="K215" s="37" t="str">
        <x:v>https://musicbrainz.org/ws/2/recording/?query=recording%3A%22C.E.A.R.T.A.%22+AND+artist%3A%22Kneecap%22&amp;fmt=json&amp;limit=8</x:v>
      </x:c>
      <x:c r="L215" s="37" t="str">
        <x:v>Candidate discovery only; does not verify the intended version</x:v>
      </x:c>
    </x:row>
    <x:row r="216">
      <x:c r="A216" s="36" t="n">
        <x:v>215</x:v>
      </x:c>
      <x:c r="B216" s="36" t="str">
        <x:v>candidate_found</x:v>
      </x:c>
      <x:c r="C216" s="36" t="n">
        <x:v>2021</x:v>
      </x:c>
      <x:c r="D216" s="37" t="str">
        <x:v>Lala &amp;ce</x:v>
      </x:c>
      <x:c r="E216" s="37" t="str">
        <x:v>Show Me Love</x:v>
      </x:c>
      <x:c r="F216" s="37" t="str">
        <x:v>Show Me Love</x:v>
      </x:c>
      <x:c r="G216" s="37" t="str">
        <x:v>Lala &amp;ce</x:v>
      </x:c>
      <x:c r="H216" s="37" t="str">
        <x:v>2021-01-29</x:v>
      </x:c>
      <x:c r="I216" s="37" t="n">
        <x:v>0</x:v>
      </x:c>
      <x:c r="J216" s="37" t="str">
        <x:v>https://musicbrainz.org/recording/c7c52871-26f5-4e86-b976-9fbedd242e05</x:v>
      </x:c>
      <x:c r="K216" s="37" t="str">
        <x:v>https://musicbrainz.org/ws/2/recording/?query=recording%3A%22Show+Me+Love%22+AND+artist%3A%22Lala+%26ce%22&amp;fmt=json&amp;limit=8</x:v>
      </x:c>
      <x:c r="L216" s="37" t="str">
        <x:v>Candidate discovery only; does not verify the intended version</x:v>
      </x:c>
    </x:row>
    <x:row r="217">
      <x:c r="A217" s="36" t="n">
        <x:v>216</x:v>
      </x:c>
      <x:c r="B217" s="36" t="str">
        <x:v>candidate_found</x:v>
      </x:c>
      <x:c r="C217" s="36" t="n">
        <x:v>2022</x:v>
      </x:c>
      <x:c r="D217" s="37" t="str">
        <x:v>Black Sherif</x:v>
      </x:c>
      <x:c r="E217" s="37" t="str">
        <x:v>Kwaku the Traveller</x:v>
      </x:c>
      <x:c r="F217" s="37" t="str">
        <x:v>Kwaku the Traveller</x:v>
      </x:c>
      <x:c r="G217" s="37" t="str">
        <x:v>Black Sherif</x:v>
      </x:c>
      <x:c r="H217" s="37" t="str">
        <x:v>2022-10-05</x:v>
      </x:c>
      <x:c r="I217" s="37" t="n">
        <x:v>0</x:v>
      </x:c>
      <x:c r="J217" s="37" t="str">
        <x:v>https://musicbrainz.org/recording/b28a454c-1e0c-4255-be17-9a8344f5bc6e</x:v>
      </x:c>
      <x:c r="K217" s="37" t="str">
        <x:v>https://musicbrainz.org/ws/2/recording/?query=recording%3A%22Kwaku+the+Traveller%22+AND+artist%3A%22Black+Sherif%22&amp;fmt=json&amp;limit=8</x:v>
      </x:c>
      <x:c r="L217" s="37" t="str">
        <x:v>Candidate discovery only; does not verify the intended version</x:v>
      </x:c>
    </x:row>
    <x:row r="218">
      <x:c r="A218" s="36" t="n">
        <x:v>217</x:v>
      </x:c>
      <x:c r="B218" s="36" t="str">
        <x:v>candidate_found</x:v>
      </x:c>
      <x:c r="C218" s="36" t="n">
        <x:v>2021</x:v>
      </x:c>
      <x:c r="D218" s="37" t="str">
        <x:v>Blxckie</x:v>
      </x:c>
      <x:c r="E218" s="37" t="str">
        <x:v>Ye x4</x:v>
      </x:c>
      <x:c r="F218" s="37" t="str">
        <x:v>Ye X4</x:v>
      </x:c>
      <x:c r="G218" s="37" t="str">
        <x:v>BlxckieNasty C</x:v>
      </x:c>
      <x:c r="H218" s="37" t="str">
        <x:v>2021-08-13</x:v>
      </x:c>
      <x:c r="I218" s="37" t="n">
        <x:v>0</x:v>
      </x:c>
      <x:c r="J218" s="37" t="str">
        <x:v>https://musicbrainz.org/recording/f7b52b68-efd6-4e0a-b2b2-203736b3f767</x:v>
      </x:c>
      <x:c r="K218" s="37" t="str">
        <x:v>https://musicbrainz.org/ws/2/recording/?query=recording%3A%22Ye+x4%22+AND+artist%3A%22Blxckie%22&amp;fmt=json&amp;limit=8</x:v>
      </x:c>
      <x:c r="L218" s="37" t="str">
        <x:v>Candidate discovery only; does not verify the intended version</x:v>
      </x:c>
    </x:row>
    <x:row r="219">
      <x:c r="A219" s="36" t="n">
        <x:v>218</x:v>
      </x:c>
      <x:c r="B219" s="36" t="str">
        <x:v>candidate_found</x:v>
      </x:c>
      <x:c r="C219" s="36" t="n">
        <x:v>2023</x:v>
      </x:c>
      <x:c r="D219" s="37" t="str">
        <x:v>MC Yallah</x:v>
      </x:c>
      <x:c r="E219" s="37" t="str">
        <x:v>Kubali</x:v>
      </x:c>
      <x:c r="F219" s="37" t="str">
        <x:v>Kubali</x:v>
      </x:c>
      <x:c r="G219" s="37" t="str">
        <x:v>MC YallahDebmaster</x:v>
      </x:c>
      <x:c r="H219" s="37" t="str">
        <x:v>2019-09-23</x:v>
      </x:c>
      <x:c r="I219" s="37" t="n">
        <x:v>4</x:v>
      </x:c>
      <x:c r="J219" s="37" t="str">
        <x:v>https://musicbrainz.org/recording/c02a68d3-62e7-4750-aa9c-7b5697b45b40</x:v>
      </x:c>
      <x:c r="K219" s="37" t="str">
        <x:v>https://musicbrainz.org/ws/2/recording/?query=recording%3A%22Kubali%22+AND+artist%3A%22MC+Yallah%22&amp;fmt=json&amp;limit=8</x:v>
      </x:c>
      <x:c r="L219" s="37" t="str">
        <x:v>Candidate discovery only; does not verify the intended version</x:v>
      </x:c>
    </x:row>
    <x:row r="220">
      <x:c r="A220" s="36" t="n">
        <x:v>219</x:v>
      </x:c>
      <x:c r="B220" s="36" t="str">
        <x:v>candidate_found</x:v>
      </x:c>
      <x:c r="C220" s="36" t="n">
        <x:v>2020</x:v>
      </x:c>
      <x:c r="D220" s="37" t="str">
        <x:v>Barkaa</x:v>
      </x:c>
      <x:c r="E220" s="37" t="str">
        <x:v>King Brown</x:v>
      </x:c>
      <x:c r="F220" s="37" t="str">
        <x:v>King Brown</x:v>
      </x:c>
      <x:c r="G220" s="37" t="str">
        <x:v>Barkaa</x:v>
      </x:c>
      <x:c r="H220" s="37" t="str">
        <x:v>2021-07-09</x:v>
      </x:c>
      <x:c r="I220" s="37" t="n">
        <x:v>1</x:v>
      </x:c>
      <x:c r="J220" s="37" t="str">
        <x:v>https://musicbrainz.org/recording/50bd13f4-7155-4cb4-bb01-d43b83567d2b</x:v>
      </x:c>
      <x:c r="K220" s="37" t="str">
        <x:v>https://musicbrainz.org/ws/2/recording/?query=recording%3A%22King+Brown%22+AND+artist%3A%22Barkaa%22&amp;fmt=json&amp;limit=8</x:v>
      </x:c>
      <x:c r="L220" s="37" t="str">
        <x:v>Candidate discovery only; does not verify the intended version</x:v>
      </x:c>
    </x:row>
    <x:row r="221">
      <x:c r="A221" s="38" t="n">
        <x:v>220</x:v>
      </x:c>
      <x:c r="B221" s="38" t="str">
        <x:v>candidate_found</x:v>
      </x:c>
      <x:c r="C221" s="38" t="n">
        <x:v>2020</x:v>
      </x:c>
      <x:c r="D221" s="39" t="str">
        <x:v>Seedhe Maut</x:v>
      </x:c>
      <x:c r="E221" s="39" t="str">
        <x:v>Namastute</x:v>
      </x:c>
      <x:c r="F221" s="39" t="str">
        <x:v>Namastute</x:v>
      </x:c>
      <x:c r="G221" s="39" t="str">
        <x:v>Seedhe Maut</x:v>
      </x:c>
      <x:c r="H221" s="39" t="str">
        <x:v>2021-09-08</x:v>
      </x:c>
      <x:c r="I221" s="39" t="n">
        <x:v>1</x:v>
      </x:c>
      <x:c r="J221" s="39" t="str">
        <x:v>https://musicbrainz.org/recording/7c3b0ffb-498d-4236-a8e6-3503988c9c06</x:v>
      </x:c>
      <x:c r="K221" s="39" t="str">
        <x:v>https://musicbrainz.org/ws/2/recording/?query=recording%3A%22Namastute%22+AND+artist%3A%22Seedhe+Maut%22&amp;fmt=json&amp;limit=8</x:v>
      </x:c>
      <x:c r="L221" s="39" t="str">
        <x:v>Candidate discovery only; does not verify the intended version</x:v>
      </x:c>
    </x:row>
  </x:sheetData>
  <x:conditionalFormatting sqref="B2:B221">
    <x:cfRule type="containsText" dxfId="3" priority="1" operator="containsText" text="no_candidate"/>
    <x:cfRule type="containsText" dxfId="4" priority="2" operator="containsText" text="request_error"/>
  </x:conditionalFormatting>
  <x:pageMargins left="0.7" right="0.7" top="0.75" bottom="0.75" header="0.3" footer="0.3"/>
  <x:tableParts count="1">
    <x:tablePart xmlns:r="http://schemas.openxmlformats.org/officeDocument/2006/relationships" r:id="R29837ecb98a547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0" hidden="0" customWidth="1"/>
    <x:col min="3" max="3" width="42" hidden="0" customWidth="1"/>
  </x:cols>
  <x:sheetData>
    <x:row r="1">
      <x:c r="A1" s="18" t="str">
        <x:v>Scope</x:v>
      </x:c>
      <x:c r="B1" s="18" t="str">
        <x:v>URL</x:v>
      </x:c>
      <x:c r="C1" s="18" t="str">
        <x:v>Use</x:v>
      </x:c>
    </x:row>
    <x:row r="2">
      <x:c r="A2" s="35" t="str">
        <x:v>Cornell Hip Hop Collection</x:v>
      </x:c>
      <x:c r="B2" s="35" t="str">
        <x:v>https://rmc.library.cornell.edu/hiphop/</x:v>
      </x:c>
      <x:c r="C2" s="35" t="str">
        <x:v>Live culture archives and collection authority</x:v>
      </x:c>
    </x:row>
    <x:row r="3">
      <x:c r="A3" s="37" t="str">
        <x:v>Troy L. Smith party-tape finding aid</x:v>
      </x:c>
      <x:c r="B3" s="37" t="str">
        <x:v>https://rmc.library.cornell.edu/EAD/htmldocs/RMM08127.html</x:v>
      </x:c>
      <x:c r="C3" s="37" t="str">
        <x:v>Archival identifiers for early live recordings</x:v>
      </x:c>
    </x:row>
    <x:row r="4">
      <x:c r="A4" s="37" t="str">
        <x:v>Smithsonian Anthology</x:v>
      </x:c>
      <x:c r="B4" s="37" t="str">
        <x:v>https://nmaahc.si.edu/explore/publications/smithsonian-anthology-hip-hop-and-rap</x:v>
      </x:c>
      <x:c r="C4" s="37" t="str">
        <x:v>Canonical comparison and recorded-history precedent</x:v>
      </x:c>
    </x:row>
    <x:row r="5">
      <x:c r="A5" s="37" t="str">
        <x:v>Tha Global Cipha</x:v>
      </x:c>
      <x:c r="B5" s="37" t="str">
        <x:v>https://www.si.edu/object/siris_sil_1064781</x:v>
      </x:c>
      <x:c r="C5" s="37" t="str">
        <x:v>Regional and global artist-centered scope</x:v>
      </x:c>
    </x:row>
    <x:row r="6">
      <x:c r="A6" s="37" t="str">
        <x:v>UNESCO Youth's sonic forces</x:v>
      </x:c>
      <x:c r="B6" s="37" t="str">
        <x:v>https://courier.unesco.org/en/articles/youths-sonic-forces</x:v>
      </x:c>
      <x:c r="C6" s="37" t="str">
        <x:v>Contemporary evidence of global circulation by 2000</x:v>
      </x:c>
    </x:row>
    <x:row r="7">
      <x:c r="A7" s="37" t="str">
        <x:v>UNESCO Festa2H</x:v>
      </x:c>
      <x:c r="B7" s="37" t="str">
        <x:v>https://www.unesco.org/creativity/en/policy-monitoring-platform/festa2h-festival-international-de-hip-hop-et-de-cultures-urbaines</x:v>
      </x:c>
      <x:c r="C7" s="37" t="str">
        <x:v>Senegalese scene infrastructure</x:v>
      </x:c>
    </x:row>
    <x:row r="8">
      <x:c r="A8" s="37" t="str">
        <x:v>Philharmonie de Paris Hip-Hop 360</x:v>
      </x:c>
      <x:c r="B8" s="37" t="str">
        <x:v>https://collectionsdumusee.philharmoniedeparis.fr/exposition-hip-hop-360.aspx?_lg=fr-FR</x:v>
      </x:c>
      <x:c r="C8" s="37" t="str">
        <x:v>French scene history</x:v>
      </x:c>
    </x:row>
    <x:row r="9">
      <x:c r="A9" s="37" t="str">
        <x:v>British Library Beyond the Bassline</x:v>
      </x:c>
      <x:c r="B9" s="37" t="str">
        <x:v>https://www.bl.uk/about/press/releases/first-exhibition-to-document-500-years-of-black-music-in-britain</x:v>
      </x:c>
      <x:c r="C9" s="37" t="str">
        <x:v>Black British musical infrastructure</x:v>
      </x:c>
    </x:row>
    <x:row r="10">
      <x:c r="A10" s="37" t="str">
        <x:v>Brazil Ministry of Culture</x:v>
      </x:c>
      <x:c r="B10" s="37" t="str">
        <x:v>https://www.gov.br/cultura/pt-br/assuntos/noticias/com-investimento-de-r-6-milhoes-minc-lanca-edital-de-reconhecimento-e-valorizacao-da-cultura-hip-hop/</x:v>
      </x:c>
      <x:c r="C10" s="37" t="str">
        <x:v>Brazilian cultural framework</x:v>
      </x:c>
    </x:row>
    <x:row r="11">
      <x:c r="A11" s="37" t="str">
        <x:v>SOAS 100% TZ Flava</x:v>
      </x:c>
      <x:c r="B11" s="37" t="str">
        <x:v>https://eprints.soas.ac.uk/35321/1/Sanders_100%25%20TZ%20Flava.pdf</x:v>
      </x:c>
      <x:c r="C11" s="37" t="str">
        <x:v>Tanzanian and Kiswahili localization</x:v>
      </x:c>
    </x:row>
    <x:row r="12">
      <x:c r="A12" s="39" t="str">
        <x:v>Japan Foundation Jalan-jalan di Asia</x:v>
      </x:c>
      <x:c r="B12" s="39" t="str">
        <x:v>https://www.jpf.go.jp/e/publish/asia_exhibition_history/pdf/45_jalan_keyword-28_en.pdf</x:v>
      </x:c>
      <x:c r="C12" s="39" t="str">
        <x:v>Southeast Asian localization</x:v>
      </x:c>
    </x:row>
  </x:sheetData>
  <x:pageMargins left="0.7" right="0.7" top="0.75" bottom="0.75" header="0.3" footer="0.3"/>
</x:worksheet>
</file>