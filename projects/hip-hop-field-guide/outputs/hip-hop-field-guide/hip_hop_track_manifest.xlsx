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c38fc192c4f4523" /></Relationships>
</file>

<file path=xl/workbook.xml><?xml version="1.0" encoding="utf-8"?>
<x:workbook xmlns:x="http://schemas.openxmlformats.org/spreadsheetml/2006/main">
  <x:sheets>
    <x:sheet xmlns:r="http://schemas.openxmlformats.org/officeDocument/2006/relationships" name="Summary" sheetId="1" r:id="Ra859f173ee9d46c4"/>
    <x:sheet xmlns:r="http://schemas.openxmlformats.org/officeDocument/2006/relationships" name="Track manifest" sheetId="2" r:id="R68c69d4bc2db4aaa"/>
    <x:sheet xmlns:r="http://schemas.openxmlformats.org/officeDocument/2006/relationships" name="Unavailable exact" sheetId="3" r:id="R6184c0a566fc452f"/>
    <x:sheet xmlns:r="http://schemas.openxmlformats.org/officeDocument/2006/relationships" name="Sources and method" sheetId="4" r:id="R90f39e32c614499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FFFFFFF"/>
      <x:name val="Carlito"/>
    </x:font>
    <x:font>
      <x:b/>
      <x:sz val="11"/>
      <x:color rgb="FFFFFFFF"/>
      <x:name val="Carlito"/>
    </x:font>
    <x:font>
      <x:b/>
      <x:sz val="11"/>
      <x:color rgb="FF1F2937"/>
      <x:name val="Carlito"/>
    </x:font>
    <x:font>
      <x:i/>
      <x:sz val="11"/>
      <x:color rgb="FF5F4500"/>
      <x:name val="Carlito"/>
    </x:font>
  </x:fonts>
  <x:fills count="7">
    <x:fill>
      <x:patternFill patternType="none"/>
    </x:fill>
    <x:fill>
      <x:patternFill patternType="gray125"/>
    </x:fill>
    <x:fill>
      <x:patternFill patternType="solid">
        <x:fgColor rgb="FF171A21"/>
      </x:patternFill>
    </x:fill>
    <x:fill>
      <x:patternFill patternType="solid">
        <x:fgColor rgb="FF325D88"/>
      </x:patternFill>
    </x:fill>
    <x:fill>
      <x:patternFill patternType="solid">
        <x:fgColor rgb="FFE9EEF5"/>
      </x:patternFill>
    </x:fill>
    <x:fill>
      <x:patternFill patternType="solid">
        <x:fgColor rgb="FFFFF4CE"/>
      </x:patternFill>
    </x:fill>
    <x:fill>
      <x:patternFill patternType="solid">
        <x:fgColor rgb="FF7F1D1D"/>
      </x:patternFill>
    </x:fill>
  </x:fills>
  <x:borders count="4">
    <x:border/>
    <x:border>
      <x:bottom style="thin">
        <x:color rgb="FFE1E5EA"/>
      </x:bottom>
    </x:border>
    <x:border>
      <x:top style="thin">
        <x:color rgb="FFE1E5EA"/>
      </x:top>
      <x:bottom style="thin">
        <x:color rgb="FFE1E5EA"/>
      </x:bottom>
    </x:border>
    <x:border>
      <x:top style="thin">
        <x:color rgb="FFE1E5EA"/>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2" fillId="2"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cellXfs>
  <x:cellStyles count="1">
    <x:cellStyle name="Normal" xfId="0"/>
  </x:cellStyles>
  <x:dxfs count="3">
    <x:dxf>
      <x:font>
        <x:color rgb="FF173A1A"/>
      </x:font>
      <x:fill>
        <x:patternFill patternType="solid">
          <x:bgColor rgb="FFDCE8D5"/>
        </x:patternFill>
      </x:fill>
    </x:dxf>
    <x:dxf>
      <x:font>
        <x:b/>
        <x:color rgb="FF7F1D1D"/>
      </x:font>
      <x:fill>
        <x:patternFill patternType="solid">
          <x:bgColor rgb="FFFDE2E2"/>
        </x:patternFill>
      </x:fill>
    </x:dxf>
    <x:dxf>
      <x:font>
        <x:color rgb="FF5F4500"/>
      </x:font>
      <x:fill>
        <x:patternFill patternType="solid">
          <x:bgColor rgb="FFFFF4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a789fb10834d3e" /><Relationship Type="http://schemas.openxmlformats.org/officeDocument/2006/relationships/theme" Target="/xl/theme/theme1.xml" Id="Ra51e9ea1237c4e83" /><Relationship Type="http://schemas.openxmlformats.org/officeDocument/2006/relationships/sharedStrings" Target="/xl/sharedStrings.xml" Id="Ra528c171291d4773" /><Relationship Type="http://schemas.openxmlformats.org/officeDocument/2006/relationships/worksheet" Target="/xl/worksheets/sheet1.xml" Id="Ra859f173ee9d46c4" /><Relationship Type="http://schemas.openxmlformats.org/officeDocument/2006/relationships/worksheet" Target="/xl/worksheets/sheet2.xml" Id="R68c69d4bc2db4aaa" /><Relationship Type="http://schemas.openxmlformats.org/officeDocument/2006/relationships/worksheet" Target="/xl/worksheets/sheet3.xml" Id="R6184c0a566fc452f" /><Relationship Type="http://schemas.openxmlformats.org/officeDocument/2006/relationships/worksheet" Target="/xl/worksheets/sheet4.xml" Id="R90f39e32c614499d" /><Relationship Type="http://schemas.microsoft.com/office/2017/10/relationships/person" Target="/xl/persons/person.xml" Id="R79b6001f641944f3" /></Relationships>
</file>

<file path=xl/persons/person.xml><?xml version="1.0" encoding="utf-8"?>
<xltc:personList xmlns:xltc="http://schemas.microsoft.com/office/spreadsheetml/2018/threadedcomments">
  <xltc:person displayName="William" id="{E7EDF77D-522F-49EA-AF4D-0321F8DADBF8}"/>
</xltc:personList>
</file>

<file path=xl/tables/table1.xml><?xml version="1.0" encoding="utf-8"?>
<x:table xmlns:x="http://schemas.openxmlformats.org/spreadsheetml/2006/main" id="1" name="AcceptedTrackManifest" displayName="AcceptedTrackManifest" ref="A1:U221" headerRowCount="1" totalsRowCount="0" totalsRowShown="0">
  <x:tableColumns count="21">
    <x:tableColumn id="1" name="position"/>
    <x:tableColumn id="2" name="block_id"/>
    <x:tableColumn id="3" name="release_year"/>
    <x:tableColumn id="4" name="artist"/>
    <x:tableColumn id="5" name="title"/>
    <x:tableColumn id="6" name="intended_version"/>
    <x:tableColumn id="7" name="scene_or_country"/>
    <x:tableColumn id="8" name="route_tags"/>
    <x:tableColumn id="9" name="primary_teaching_job"/>
    <x:tableColumn id="10" name="selection_status"/>
    <x:tableColumn id="11" name="metadata_status"/>
    <x:tableColumn id="12" name="metadata_source_url"/>
    <x:tableColumn id="13" name="soundcloud_status"/>
    <x:tableColumn id="14" name="soundcloud_url"/>
    <x:tableColumn id="15" name="soundcloud_id"/>
    <x:tableColumn id="16" name="soundcloud_uploader"/>
    <x:tableColumn id="17" name="soundcloud_duration_ms"/>
    <x:tableColumn id="18" name="soundcloud_access"/>
    <x:tableColumn id="19" name="resolution_note"/>
    <x:tableColumn id="20" name="guide_anchor"/>
    <x:tableColumn id="21" name="notes"/>
  </x:tableColumns>
  <x:tableStyleInfo name="TableStyleMedium2" showFirstColumn="0" showLastColumn="0" showRowStripes="1" showColumnStripes="0"/>
</x:table>
</file>

<file path=xl/tables/table2.xml><?xml version="1.0" encoding="utf-8"?>
<x:table xmlns:x="http://schemas.openxmlformats.org/spreadsheetml/2006/main" id="2" name="UnavailableExactTable" displayName="UnavailableExactTable" ref="A1:F23" headerRowCount="1" totalsRowCount="0" totalsRowShown="0">
  <x:tableColumns count="6">
    <x:tableColumn id="1" name="position"/>
    <x:tableColumn id="2" name="artist"/>
    <x:tableColumn id="3" name="title"/>
    <x:tableColumn id="4" name="intended_version"/>
    <x:tableColumn id="5" name="reason"/>
    <x:tableColumn id="6" name="guide_anch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de28a6879644531" /></Relationships>
</file>

<file path=xl/worksheets/_rels/sheet3.xml.rels>&#65279;<?xml version="1.0" encoding="utf-8"?><Relationships xmlns="http://schemas.openxmlformats.org/package/2006/relationships"><Relationship Type="http://schemas.openxmlformats.org/officeDocument/2006/relationships/table" Target="/xl/tables/table2.xml" Id="R43146137eb8545c6"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s>
  <x:sheetData>
    <x:row r="1" ht="32" customHeight="1">
      <x:c r="A1" s="2" t="str">
        <x:v>The Message and the Method — accepted listening manifest</x:v>
      </x:c>
      <x:c r="B1" s="2"/>
      <x:c r="C1" s="2"/>
      <x:c r="D1" s="2"/>
      <x:c r="E1" s="2"/>
      <x:c r="F1" s="2"/>
      <x:c r="G1" s="2"/>
      <x:c r="H1" s="2"/>
    </x:row>
    <x:row r="3">
      <x:c r="A3" s="4" t="str">
        <x:v>Measure</x:v>
      </x:c>
      <x:c r="B3" s="4" t="str">
        <x:v>Count</x:v>
      </x:c>
    </x:row>
    <x:row r="4">
      <x:c r="A4" s="6" t="str">
        <x:v>Selected guide positions</x:v>
      </x:c>
      <x:c r="B4" t="n">
        <x:f>COUNTA('Track manifest'!$A$2:$A$221)</x:f>
        <x:v>220</x:v>
      </x:c>
    </x:row>
    <x:row r="5">
      <x:c r="A5" s="6" t="str">
        <x:v>Resolved SoundCloud tracks</x:v>
      </x:c>
      <x:c r="B5" t="n">
        <x:f>B4-B6</x:f>
        <x:v>198</x:v>
      </x:c>
    </x:row>
    <x:row r="6">
      <x:c r="A6" s="6" t="str">
        <x:v>Exact versions unavailable</x:v>
      </x:c>
      <x:c r="B6" t="n">
        <x:f>COUNTIF('Track manifest'!$M$2:$M$221,"unavailable_exact")</x:f>
        <x:v>22</x:v>
      </x:c>
    </x:row>
    <x:row r="7">
      <x:c r="A7" s="6" t="str">
        <x:v>Subscriber-catalog tracks</x:v>
      </x:c>
      <x:c r="B7" t="n">
        <x:f>COUNTIF('Track manifest'!$R$2:$R$221,"subscriber_catalog")</x:f>
        <x:v>90</x:v>
      </x:c>
    </x:row>
    <x:row r="8">
      <x:c r="A8" s="6" t="str">
        <x:v>Open or ad-supported tracks</x:v>
      </x:c>
      <x:c r="B8" t="n">
        <x:f>COUNTIF('Track manifest'!$R$2:$R$221,"open_or_monetized")</x:f>
        <x:v>108</x:v>
      </x:c>
    </x:row>
    <x:row r="9">
      <x:c r="A9" s="6" t="str">
        <x:v>Release identity source complete</x:v>
      </x:c>
      <x:c r="B9" t="n">
        <x:f>B4-B10</x:f>
        <x:v>197</x:v>
      </x:c>
    </x:row>
    <x:row r="10">
      <x:c r="A10" s="6" t="str">
        <x:v>Release identity source incomplete</x:v>
      </x:c>
      <x:c r="B10" t="n">
        <x:f>COUNTIF('Track manifest'!$K$2:$K$221,"metadata_source_incomplete")</x:f>
        <x:v>23</x:v>
      </x:c>
    </x:row>
    <x:row r="11">
      <x:c r="A11" s="6" t="str">
        <x:v>Playlist title</x:v>
      </x:c>
      <x:c r="B11" t="str">
        <x:v>The Message and the Method — A Hip-Hop Field Guide</x:v>
      </x:c>
    </x:row>
    <x:row r="13" ht="28" customHeight="1">
      <x:c r="A13" s="9" t="str">
        <x:v>The guide preserves all 220 researched positions. The listening implementation contains only links that passed the intended-recording gate; unavailable originals remain visible in the guide and are never silently replaced by a remix, edit, remaster, or same-title recording.</x:v>
      </x:c>
      <x:c r="B13" s="9"/>
      <x:c r="C13" s="9"/>
      <x:c r="D13" s="9"/>
      <x:c r="E13" s="9"/>
      <x:c r="F13" s="9"/>
      <x:c r="G13" s="9"/>
      <x:c r="H13" s="9"/>
    </x:row>
    <x:row r="14" ht="28" customHeight="1">
      <x:c r="A14" s="9"/>
      <x:c r="B14" s="9"/>
      <x:c r="C14" s="9"/>
      <x:c r="D14" s="9"/>
      <x:c r="E14" s="9"/>
      <x:c r="F14" s="9"/>
      <x:c r="G14" s="9"/>
      <x:c r="H14" s="9"/>
    </x:row>
    <x:row r="15" ht="28" customHeight="1">
      <x:c r="A15" s="9"/>
      <x:c r="B15" s="9"/>
      <x:c r="C15" s="9"/>
      <x:c r="D15" s="9"/>
      <x:c r="E15" s="9"/>
      <x:c r="F15" s="9"/>
      <x:c r="G15" s="9"/>
      <x:c r="H15" s="9"/>
    </x:row>
  </x:sheetData>
  <x:mergeCells>
    <x:mergeCell ref="A1:H1"/>
    <x:mergeCell ref="B11:H11"/>
    <x:mergeCell ref="A13:H15"/>
  </x:mergeCells>
  <x:pageMargins left="0.7" right="0.7" top="0.75" bottom="0.75" header="0.3" footer="0.3"/>
</x:worksheet>
</file>

<file path=xl/worksheets/sheet2.xml><?xml version="1.0" encoding="utf-8"?>
<x:worksheet xmlns:x="http://schemas.openxmlformats.org/spreadsheetml/2006/main">
  <x:sheetViews>
    <x:sheetView workbookViewId="0">
      <x:pane xSplit="3" ySplit="1" topLeftCell="D2" activePane="bottomRight" state="frozen"/>
    </x:sheetView>
  </x:sheetViews>
  <x:sheetFormatPr defaultRowHeight="15"/>
  <x:cols>
    <x:col min="1" max="1" width="9" hidden="0" customWidth="1"/>
    <x:col min="2" max="2" width="11" hidden="0" customWidth="1"/>
    <x:col min="3" max="3" width="11" hidden="0" customWidth="1"/>
    <x:col min="4" max="4" width="27" hidden="0" customWidth="1"/>
    <x:col min="5" max="5" width="30" hidden="0" customWidth="1"/>
    <x:col min="6" max="6" width="34" hidden="0" customWidth="1"/>
    <x:col min="7" max="7" width="27" hidden="0" customWidth="1"/>
    <x:col min="8" max="8" width="27" hidden="0" customWidth="1"/>
    <x:col min="9" max="9" width="42" hidden="0" customWidth="1"/>
    <x:col min="10" max="10" width="24" hidden="0" customWidth="1"/>
    <x:col min="11" max="11" width="24" hidden="0" customWidth="1"/>
    <x:col min="12" max="12" width="42" hidden="0" customWidth="1"/>
    <x:col min="13" max="13" width="24" hidden="0" customWidth="1"/>
    <x:col min="14" max="14" width="45" hidden="0" customWidth="1"/>
    <x:col min="15" max="15" width="20" hidden="0" customWidth="1"/>
    <x:col min="16" max="16" width="20" hidden="0" customWidth="1"/>
    <x:col min="17" max="17" width="20" hidden="0" customWidth="1"/>
    <x:col min="18" max="18" width="22" hidden="0" customWidth="1"/>
    <x:col min="19" max="19" width="52" hidden="0" customWidth="1"/>
    <x:col min="20" max="20" width="16" hidden="0" customWidth="1"/>
    <x:col min="21" max="21" width="42" hidden="0" customWidth="1"/>
  </x:cols>
  <x:sheetData>
    <x:row r="1" ht="28" customHeight="1">
      <x:c r="A1" s="10" t="str">
        <x:v>position</x:v>
      </x:c>
      <x:c r="B1" s="10" t="str">
        <x:v>block_id</x:v>
      </x:c>
      <x:c r="C1" s="10" t="str">
        <x:v>release_year</x:v>
      </x:c>
      <x:c r="D1" s="10" t="str">
        <x:v>artist</x:v>
      </x:c>
      <x:c r="E1" s="10" t="str">
        <x:v>title</x:v>
      </x:c>
      <x:c r="F1" s="10" t="str">
        <x:v>intended_version</x:v>
      </x:c>
      <x:c r="G1" s="10" t="str">
        <x:v>scene_or_country</x:v>
      </x:c>
      <x:c r="H1" s="10" t="str">
        <x:v>route_tags</x:v>
      </x:c>
      <x:c r="I1" s="10" t="str">
        <x:v>primary_teaching_job</x:v>
      </x:c>
      <x:c r="J1" s="10" t="str">
        <x:v>selection_status</x:v>
      </x:c>
      <x:c r="K1" s="10" t="str">
        <x:v>metadata_status</x:v>
      </x:c>
      <x:c r="L1" s="10" t="str">
        <x:v>metadata_source_url</x:v>
      </x:c>
      <x:c r="M1" s="10" t="str">
        <x:v>soundcloud_status</x:v>
      </x:c>
      <x:c r="N1" s="10" t="str">
        <x:v>soundcloud_url</x:v>
      </x:c>
      <x:c r="O1" s="10" t="str">
        <x:v>soundcloud_id</x:v>
      </x:c>
      <x:c r="P1" s="10" t="str">
        <x:v>soundcloud_uploader</x:v>
      </x:c>
      <x:c r="Q1" s="10" t="str">
        <x:v>soundcloud_duration_ms</x:v>
      </x:c>
      <x:c r="R1" s="10" t="str">
        <x:v>soundcloud_access</x:v>
      </x:c>
      <x:c r="S1" s="10" t="str">
        <x:v>resolution_note</x:v>
      </x:c>
      <x:c r="T1" s="10" t="str">
        <x:v>guide_anchor</x:v>
      </x:c>
      <x:c r="U1" s="10" t="str">
        <x:v>notes</x:v>
      </x:c>
    </x:row>
    <x:row r="2">
      <x:c r="A2" s="17" t="n">
        <x:v>1</x:v>
      </x:c>
      <x:c r="B2" s="17" t="str">
        <x:v>HH01</x:v>
      </x:c>
      <x:c r="C2" s="17" t="n">
        <x:v>1968</x:v>
      </x:c>
      <x:c r="D2" s="17" t="str">
        <x:v>Pigmeat Markham</x:v>
      </x:c>
      <x:c r="E2" s="17" t="str">
        <x:v>Here Comes the Judge</x:v>
      </x:c>
      <x:c r="F2" s="17" t="str">
        <x:v>original single version</x:v>
      </x:c>
      <x:c r="G2" s="17" t="str">
        <x:v>United States</x:v>
      </x:c>
      <x:c r="H2" s="17" t="str">
        <x:v>spoken-rhythm; comedy; precursor</x:v>
      </x:c>
      <x:c r="I2" s="17" t="str">
        <x:v>Comic rhythmic address and mass-media crossover</x:v>
      </x:c>
      <x:c r="J2" s="17" t="str">
        <x:v>selected_main_route</x:v>
      </x:c>
      <x:c r="K2" s="17" t="str">
        <x:v>verified_musicbrainz</x:v>
      </x:c>
      <x:c r="L2" s="17" t="str">
        <x:v>https://musicbrainz.org/recording/8ce34c68-516c-41fb-8258-f45a5dae0146</x:v>
      </x:c>
      <x:c r="M2" s="17" t="str">
        <x:v>resolved_exact</x:v>
      </x:c>
      <x:c r="N2" s="17" t="str">
        <x:v>https://soundcloud.com/pigmeat-markham/here-comes-the-judge</x:v>
      </x:c>
      <x:c r="O2" s="17" t="n">
        <x:v>253008898</x:v>
      </x:c>
      <x:c r="P2" s="17" t="str">
        <x:v>Pigmeat Markham</x:v>
      </x:c>
      <x:c r="Q2" s="17" t="n">
        <x:v>160914</x:v>
      </x:c>
      <x:c r="R2" s="17" t="str">
        <x:v>subscriber_catalog</x:v>
      </x:c>
      <x:c r="S2" s="17" t="str">
        <x:v>Structured SoundCloud catalog metadata matches artist, title, and intended unaltered version.</x:v>
      </x:c>
      <x:c r="T2" s="17" t="str">
        <x:v>track-001</x:v>
      </x:c>
      <x:c r="U2" s="17" t="str">
        <x:v>Context only; do not declare direct invention</x:v>
      </x:c>
    </x:row>
    <x:row r="3">
      <x:c r="A3" s="18" t="n">
        <x:v>2</x:v>
      </x:c>
      <x:c r="B3" s="18" t="str">
        <x:v>HH01</x:v>
      </x:c>
      <x:c r="C3" s="18" t="n">
        <x:v>1969</x:v>
      </x:c>
      <x:c r="D3" s="18" t="str">
        <x:v>King Stitt</x:v>
      </x:c>
      <x:c r="E3" s="18" t="str">
        <x:v>Fire Corner</x:v>
      </x:c>
      <x:c r="F3" s="18" t="str">
        <x:v>original single version</x:v>
      </x:c>
      <x:c r="G3" s="18" t="str">
        <x:v>Jamaica</x:v>
      </x:c>
      <x:c r="H3" s="18" t="str">
        <x:v>sound-system; deejay; precursor</x:v>
      </x:c>
      <x:c r="I3" s="18" t="str">
        <x:v>Jamaican deejay address and version culture</x:v>
      </x:c>
      <x:c r="J3" s="18" t="str">
        <x:v>selected_main_route</x:v>
      </x:c>
      <x:c r="K3" s="18" t="str">
        <x:v>verified_musicbrainz</x:v>
      </x:c>
      <x:c r="L3" s="18" t="str">
        <x:v>https://musicbrainz.org/recording/6d63e117-5440-489b-9e2d-22cff8b5f4b1</x:v>
      </x:c>
      <x:c r="M3" s="18" t="str">
        <x:v>resolved_exact</x:v>
      </x:c>
      <x:c r="N3" s="18" t="str">
        <x:v>https://soundcloud.com/kingstitt-music/fire-corner</x:v>
      </x:c>
      <x:c r="O3" s="18" t="n">
        <x:v>1340286832</x:v>
      </x:c>
      <x:c r="P3" s="18" t="str">
        <x:v>King Stitt</x:v>
      </x:c>
      <x:c r="Q3" s="18" t="n">
        <x:v>172069</x:v>
      </x:c>
      <x:c r="R3" s="18" t="str">
        <x:v>open_or_monetized</x:v>
      </x:c>
      <x:c r="S3" s="18" t="str">
        <x:v>Structured SoundCloud catalog metadata matches artist, title, and intended unaltered version.</x:v>
      </x:c>
      <x:c r="T3" s="18" t="str">
        <x:v>track-002</x:v>
      </x:c>
      <x:c r="U3" s="18" t="str">
        <x:v>Transnational context</x:v>
      </x:c>
    </x:row>
    <x:row r="4">
      <x:c r="A4" s="18" t="n">
        <x:v>3</x:v>
      </x:c>
      <x:c r="B4" s="18" t="str">
        <x:v>HH01</x:v>
      </x:c>
      <x:c r="C4" s="18" t="n">
        <x:v>1970</x:v>
      </x:c>
      <x:c r="D4" s="18" t="str">
        <x:v>The Last Poets</x:v>
      </x:c>
      <x:c r="E4" s="18" t="str">
        <x:v>When the Revolution Comes</x:v>
      </x:c>
      <x:c r="F4" s="18" t="str">
        <x:v>original album version</x:v>
      </x:c>
      <x:c r="G4" s="18" t="str">
        <x:v>New York</x:v>
      </x:c>
      <x:c r="H4" s="18" t="str">
        <x:v>spoken-word; political; precursor</x:v>
      </x:c>
      <x:c r="I4" s="18" t="str">
        <x:v>Militant ensemble speech and percussion</x:v>
      </x:c>
      <x:c r="J4" s="18" t="str">
        <x:v>selected_main_route</x:v>
      </x:c>
      <x:c r="K4" s="18" t="str">
        <x:v>verified_musicbrainz</x:v>
      </x:c>
      <x:c r="L4" s="18" t="str">
        <x:v>https://musicbrainz.org/recording/09c290f6-56d8-4eb1-b904-608c2ffac9f3</x:v>
      </x:c>
      <x:c r="M4" s="18" t="str">
        <x:v>resolved_exact_unofficial</x:v>
      </x:c>
      <x:c r="N4" s="18" t="str">
        <x:v>https://soundcloud.com/dexter-morgan-831382115/when-the-revolution-comes</x:v>
      </x:c>
      <x:c r="O4" s="18" t="n">
        <x:v>282999874</x:v>
      </x:c>
      <x:c r="P4" s="18" t="str">
        <x:v>dexter morgan</x:v>
      </x:c>
      <x:c r="Q4" s="18" t="n">
        <x:v>149956</x:v>
      </x:c>
      <x:c r="R4" s="18" t="str">
        <x:v>open_or_monetized</x:v>
      </x:c>
      <x:c r="S4" s="18" t="str">
        <x:v>The audio and publisher metadata identify The Last Poets' original recording, but the SoundCloud uploader is the unrelated user dexter morgan. The link is an availability source, not an artist attribution.</x:v>
      </x:c>
      <x:c r="T4" s="18" t="str">
        <x:v>track-003</x:v>
      </x:c>
      <x:c r="U4" s="18" t="str">
        <x:v>Recognition prompt remains open</x:v>
      </x:c>
    </x:row>
    <x:row r="5">
      <x:c r="A5" s="18" t="n">
        <x:v>4</x:v>
      </x:c>
      <x:c r="B5" s="18" t="str">
        <x:v>HH01</x:v>
      </x:c>
      <x:c r="C5" s="18" t="n">
        <x:v>1970</x:v>
      </x:c>
      <x:c r="D5" s="18" t="str">
        <x:v>U-Roy</x:v>
      </x:c>
      <x:c r="E5" s="18" t="str">
        <x:v>Wake the Town</x:v>
      </x:c>
      <x:c r="F5" s="18" t="str">
        <x:v>original single version</x:v>
      </x:c>
      <x:c r="G5" s="18" t="str">
        <x:v>Jamaica</x:v>
      </x:c>
      <x:c r="H5" s="18" t="str">
        <x:v>sound-system; deejay; version</x:v>
      </x:c>
      <x:c r="I5" s="18" t="str">
        <x:v>Recorded deejay performance over an existing rhythm</x:v>
      </x:c>
      <x:c r="J5" s="18" t="str">
        <x:v>selected_main_route</x:v>
      </x:c>
      <x:c r="K5" s="18" t="str">
        <x:v>verified_soundcloud_catalog</x:v>
      </x:c>
      <x:c r="L5" s="18" t="str">
        <x:v>https://soundcloud.com/u-roy/wake-the-town-1</x:v>
      </x:c>
      <x:c r="M5" s="18" t="str">
        <x:v>resolved_exact</x:v>
      </x:c>
      <x:c r="N5" s="18" t="str">
        <x:v>https://soundcloud.com/u-roy/wake-the-town-1</x:v>
      </x:c>
      <x:c r="O5" s="18" t="n">
        <x:v>743027314</x:v>
      </x:c>
      <x:c r="P5" s="18" t="str">
        <x:v>U-Roy</x:v>
      </x:c>
      <x:c r="Q5" s="18" t="n">
        <x:v>242442</x:v>
      </x:c>
      <x:c r="R5" s="18" t="str">
        <x:v>subscriber_catalog</x:v>
      </x:c>
      <x:c r="S5" s="18" t="str">
        <x:v>Structured SoundCloud catalog metadata matches artist, title, and intended unaltered version.</x:v>
      </x:c>
      <x:c r="T5" s="18" t="str">
        <x:v>track-004</x:v>
      </x:c>
      <x:c r="U5" s="18" t="str">
        <x:v>Do not reduce hip-hop to a single Jamaican parent line</x:v>
      </x:c>
    </x:row>
    <x:row r="6">
      <x:c r="A6" s="18" t="n">
        <x:v>5</x:v>
      </x:c>
      <x:c r="B6" s="18" t="str">
        <x:v>HH01</x:v>
      </x:c>
      <x:c r="C6" s="18" t="n">
        <x:v>1970</x:v>
      </x:c>
      <x:c r="D6" s="18" t="str">
        <x:v>James Brown</x:v>
      </x:c>
      <x:c r="E6" s="18" t="str">
        <x:v>Funky Drummer</x:v>
      </x:c>
      <x:c r="F6" s="18" t="str">
        <x:v>complete original single performance</x:v>
      </x:c>
      <x:c r="G6" s="18" t="str">
        <x:v>Cincinnati / United States</x:v>
      </x:c>
      <x:c r="H6" s="18" t="str">
        <x:v>funk; break; drums</x:v>
      </x:c>
      <x:c r="I6" s="18" t="str">
        <x:v>Clyde Stubblefield break as later sample material</x:v>
      </x:c>
      <x:c r="J6" s="18" t="str">
        <x:v>selected_main_route</x:v>
      </x:c>
      <x:c r="K6" s="18" t="str">
        <x:v>verified_soundcloud_catalog</x:v>
      </x:c>
      <x:c r="L6" s="18" t="str">
        <x:v>https://soundcloud.com/james-brown-music/funky-drummer</x:v>
      </x:c>
      <x:c r="M6" s="18" t="str">
        <x:v>resolved_exact</x:v>
      </x:c>
      <x:c r="N6" s="18" t="str">
        <x:v>https://soundcloud.com/james-brown-music/funky-drummer</x:v>
      </x:c>
      <x:c r="O6" s="18" t="n">
        <x:v>255780367</x:v>
      </x:c>
      <x:c r="P6" s="18" t="str">
        <x:v>James Brown</x:v>
      </x:c>
      <x:c r="Q6" s="18" t="n">
        <x:v>334502</x:v>
      </x:c>
      <x:c r="R6" s="18" t="str">
        <x:v>subscriber_catalog</x:v>
      </x:c>
      <x:c r="S6" s="18" t="str">
        <x:v>Structured SoundCloud catalog metadata matches artist, title, and intended unaltered version.</x:v>
      </x:c>
      <x:c r="T6" s="18" t="str">
        <x:v>track-005</x:v>
      </x:c>
      <x:c r="U6" s="18" t="str">
        <x:v>Exact full version requires verification</x:v>
      </x:c>
    </x:row>
    <x:row r="7">
      <x:c r="A7" s="18" t="n">
        <x:v>6</x:v>
      </x:c>
      <x:c r="B7" s="18" t="str">
        <x:v>HH01</x:v>
      </x:c>
      <x:c r="C7" s="18" t="n">
        <x:v>1971</x:v>
      </x:c>
      <x:c r="D7" s="18" t="str">
        <x:v>The Watts Prophets</x:v>
      </x:c>
      <x:c r="E7" s="18" t="str">
        <x:v>Dem Niggers Ain't Playing</x:v>
      </x:c>
      <x:c r="F7" s="18" t="str">
        <x:v>original album version</x:v>
      </x:c>
      <x:c r="G7" s="18" t="str">
        <x:v>Los Angeles</x:v>
      </x:c>
      <x:c r="H7" s="18" t="str">
        <x:v>spoken-word; political; precursor</x:v>
      </x:c>
      <x:c r="I7" s="18" t="str">
        <x:v>West Coast Black Arts rhythmic speech</x:v>
      </x:c>
      <x:c r="J7" s="18" t="str">
        <x:v>selected_main_route</x:v>
      </x:c>
      <x:c r="K7" s="18" t="str">
        <x:v>metadata_source_incomplete</x:v>
      </x:c>
      <x:c r="L7" s="18" t="str">
        <x:v>https://musicbrainz.org/recording/9fc8df53-76f1-494a-9516-def9adceaf0e</x:v>
      </x:c>
      <x:c r="M7" s="18" t="str">
        <x:v>unavailable_exact</x:v>
      </x:c>
      <x:c r="N7" s="18" t="str"/>
      <x:c r="O7" s="18" t="str"/>
      <x:c r="P7" s="18" t="str"/>
      <x:c r="Q7" s="18" t="str"/>
      <x:c r="R7" s="18" t="str"/>
      <x:c r="S7" s="18" t="str">
        <x:v>Only a mashup and uncertain user uploads were found; no exact original-album recording is accepted.</x:v>
      </x:c>
      <x:c r="T7" s="18" t="str">
        <x:v>track-006</x:v>
      </x:c>
      <x:c r="U7" s="18" t="str">
        <x:v>Title is historical artist wording</x:v>
      </x:c>
    </x:row>
    <x:row r="8">
      <x:c r="A8" s="18" t="n">
        <x:v>7</x:v>
      </x:c>
      <x:c r="B8" s="18" t="str">
        <x:v>HH01</x:v>
      </x:c>
      <x:c r="C8" s="18" t="n">
        <x:v>1971</x:v>
      </x:c>
      <x:c r="D8" s="18" t="str">
        <x:v>Gil Scott-Heron</x:v>
      </x:c>
      <x:c r="E8" s="18" t="str">
        <x:v>The Revolution Will Not Be Televised</x:v>
      </x:c>
      <x:c r="F8" s="18" t="str">
        <x:v>full-band Pieces of a Man version</x:v>
      </x:c>
      <x:c r="G8" s="18" t="str">
        <x:v>New York</x:v>
      </x:c>
      <x:c r="H8" s="18" t="str">
        <x:v>spoken-word; jazz; political</x:v>
      </x:c>
      <x:c r="I8" s="18" t="str">
        <x:v>Media critique and rhythmic address</x:v>
      </x:c>
      <x:c r="J8" s="18" t="str">
        <x:v>selected_main_route</x:v>
      </x:c>
      <x:c r="K8" s="18" t="str">
        <x:v>verified_soundcloud_catalog</x:v>
      </x:c>
      <x:c r="L8" s="18" t="str">
        <x:v>https://soundcloud.com/gil-scott-heron-official/the-revolution-will-not-be</x:v>
      </x:c>
      <x:c r="M8" s="18" t="str">
        <x:v>resolved_exact</x:v>
      </x:c>
      <x:c r="N8" s="18" t="str">
        <x:v>https://soundcloud.com/gil-scott-heron-official/the-revolution-will-not-be</x:v>
      </x:c>
      <x:c r="O8" s="18" t="n">
        <x:v>277500337</x:v>
      </x:c>
      <x:c r="P8" s="18" t="str">
        <x:v>Gil Scott-Heron</x:v>
      </x:c>
      <x:c r="Q8" s="18" t="n">
        <x:v>187376</x:v>
      </x:c>
      <x:c r="R8" s="18" t="str">
        <x:v>open_or_monetized</x:v>
      </x:c>
      <x:c r="S8" s="18" t="str">
        <x:v>Structured SoundCloud catalog metadata matches artist, title, and intended unaltered version.</x:v>
      </x:c>
      <x:c r="T8" s="18" t="str">
        <x:v>track-007</x:v>
      </x:c>
      <x:c r="U8" s="18" t="str">
        <x:v>Distinguish from earlier Small Talk version</x:v>
      </x:c>
    </x:row>
    <x:row r="9">
      <x:c r="A9" s="18" t="n">
        <x:v>8</x:v>
      </x:c>
      <x:c r="B9" s="18" t="str">
        <x:v>HH01</x:v>
      </x:c>
      <x:c r="C9" s="18" t="n">
        <x:v>1972</x:v>
      </x:c>
      <x:c r="D9" s="18" t="str">
        <x:v>The Jimmy Castor Bunch</x:v>
      </x:c>
      <x:c r="E9" s="18" t="str">
        <x:v>It's Just Begun</x:v>
      </x:c>
      <x:c r="F9" s="18" t="str">
        <x:v>original album version</x:v>
      </x:c>
      <x:c r="G9" s="18" t="str">
        <x:v>New York</x:v>
      </x:c>
      <x:c r="H9" s="18" t="str">
        <x:v>funk; break; dance</x:v>
      </x:c>
      <x:c r="I9" s="18" t="str">
        <x:v>Break culture and b-boy afterlife</x:v>
      </x:c>
      <x:c r="J9" s="18" t="str">
        <x:v>selected_main_route</x:v>
      </x:c>
      <x:c r="K9" s="18" t="str">
        <x:v>verified_soundcloud_catalog</x:v>
      </x:c>
      <x:c r="L9" s="18" t="str">
        <x:v>https://soundcloud.com/thejimmycastorbunch/its-just-begun-1</x:v>
      </x:c>
      <x:c r="M9" s="18" t="str">
        <x:v>resolved_exact</x:v>
      </x:c>
      <x:c r="N9" s="18" t="str">
        <x:v>https://soundcloud.com/thejimmycastorbunch/its-just-begun-1</x:v>
      </x:c>
      <x:c r="O9" s="18" t="n">
        <x:v>960959827</x:v>
      </x:c>
      <x:c r="P9" s="18" t="str">
        <x:v>The Jimmy Castor Bunch</x:v>
      </x:c>
      <x:c r="Q9" s="18" t="n">
        <x:v>210390</x:v>
      </x:c>
      <x:c r="R9" s="18" t="str">
        <x:v>subscriber_catalog</x:v>
      </x:c>
      <x:c r="S9" s="18" t="str">
        <x:v>Structured SoundCloud catalog metadata matches artist, title, and intended unaltered version.</x:v>
      </x:c>
      <x:c r="T9" s="18" t="str">
        <x:v>track-008</x:v>
      </x:c>
      <x:c r="U9" s="18" t="str">
        <x:v>Verify album timing</x:v>
      </x:c>
    </x:row>
    <x:row r="10">
      <x:c r="A10" s="18" t="n">
        <x:v>9</x:v>
      </x:c>
      <x:c r="B10" s="18" t="str">
        <x:v>HH01</x:v>
      </x:c>
      <x:c r="C10" s="18" t="n">
        <x:v>1972</x:v>
      </x:c>
      <x:c r="D10" s="18" t="str">
        <x:v>Babe Ruth</x:v>
      </x:c>
      <x:c r="E10" s="18" t="str">
        <x:v>The Mexican</x:v>
      </x:c>
      <x:c r="F10" s="18" t="str">
        <x:v>original First Base album version</x:v>
      </x:c>
      <x:c r="G10" s="18" t="str">
        <x:v>United Kingdom</x:v>
      </x:c>
      <x:c r="H10" s="18" t="str">
        <x:v>rock; break; transatlantic</x:v>
      </x:c>
      <x:c r="I10" s="18" t="str">
        <x:v>Unexpected break source and transatlantic record circulation</x:v>
      </x:c>
      <x:c r="J10" s="18" t="str">
        <x:v>selected_main_route</x:v>
      </x:c>
      <x:c r="K10" s="18" t="str">
        <x:v>verified_soundcloud_catalog</x:v>
      </x:c>
      <x:c r="L10" s="18" t="str">
        <x:v>https://soundcloud.com/babe-ruth-official/the-mexican</x:v>
      </x:c>
      <x:c r="M10" s="18" t="str">
        <x:v>resolved_exact</x:v>
      </x:c>
      <x:c r="N10" s="18" t="str">
        <x:v>https://soundcloud.com/babe-ruth-official/the-mexican</x:v>
      </x:c>
      <x:c r="O10" s="18" t="n">
        <x:v>254613379</x:v>
      </x:c>
      <x:c r="P10" s="18" t="str">
        <x:v>Babe Ruth</x:v>
      </x:c>
      <x:c r="Q10" s="18" t="n">
        <x:v>205968</x:v>
      </x:c>
      <x:c r="R10" s="18" t="str">
        <x:v>subscriber_catalog</x:v>
      </x:c>
      <x:c r="S10" s="18" t="str">
        <x:v>Structured SoundCloud catalog metadata matches artist, title, and intended unaltered version.</x:v>
      </x:c>
      <x:c r="T10" s="18" t="str">
        <x:v>track-009</x:v>
      </x:c>
      <x:c r="U10" s="18" t="str">
        <x:v>Not a rap record</x:v>
      </x:c>
    </x:row>
    <x:row r="11">
      <x:c r="A11" s="18" t="n">
        <x:v>10</x:v>
      </x:c>
      <x:c r="B11" s="18" t="str">
        <x:v>HH01</x:v>
      </x:c>
      <x:c r="C11" s="18" t="n">
        <x:v>1972</x:v>
      </x:c>
      <x:c r="D11" s="18" t="str">
        <x:v>Cymande</x:v>
      </x:c>
      <x:c r="E11" s="18" t="str">
        <x:v>Bra</x:v>
      </x:c>
      <x:c r="F11" s="18" t="str">
        <x:v>original album version</x:v>
      </x:c>
      <x:c r="G11" s="18" t="str">
        <x:v>United Kingdom</x:v>
      </x:c>
      <x:c r="H11" s="18" t="str">
        <x:v>funk; break; diaspora</x:v>
      </x:c>
      <x:c r="I11" s="18" t="str">
        <x:v>Diasporic British funk in break selection</x:v>
      </x:c>
      <x:c r="J11" s="18" t="str">
        <x:v>selected_main_route</x:v>
      </x:c>
      <x:c r="K11" s="18" t="str">
        <x:v>verified_soundcloud_catalog</x:v>
      </x:c>
      <x:c r="L11" s="18" t="str">
        <x:v>https://soundcloud.com/cymandeofficial/bra</x:v>
      </x:c>
      <x:c r="M11" s="18" t="str">
        <x:v>resolved_exact</x:v>
      </x:c>
      <x:c r="N11" s="18" t="str">
        <x:v>https://soundcloud.com/cymandeofficial/bra</x:v>
      </x:c>
      <x:c r="O11" s="18" t="n">
        <x:v>1178825680</x:v>
      </x:c>
      <x:c r="P11" s="18" t="str">
        <x:v>Cymande</x:v>
      </x:c>
      <x:c r="Q11" s="18" t="n">
        <x:v>306390</x:v>
      </x:c>
      <x:c r="R11" s="18" t="str">
        <x:v>open_or_monetized</x:v>
      </x:c>
      <x:c r="S11" s="18" t="str">
        <x:v>Structured SoundCloud catalog metadata matches artist, title, and intended unaltered version.</x:v>
      </x:c>
      <x:c r="T11" s="18" t="str">
        <x:v>track-010</x:v>
      </x:c>
      <x:c r="U11" s="18" t="str">
        <x:v>Not a rap record</x:v>
      </x:c>
    </x:row>
    <x:row r="12">
      <x:c r="A12" s="18" t="n">
        <x:v>11</x:v>
      </x:c>
      <x:c r="B12" s="18" t="str">
        <x:v>HH01</x:v>
      </x:c>
      <x:c r="C12" s="18" t="n">
        <x:v>1973</x:v>
      </x:c>
      <x:c r="D12" s="18" t="str">
        <x:v>The Incredible Bongo Band</x:v>
      </x:c>
      <x:c r="E12" s="18" t="str">
        <x:v>Apache</x:v>
      </x:c>
      <x:c r="F12" s="18" t="str">
        <x:v>original Bongo Rock album version</x:v>
      </x:c>
      <x:c r="G12" s="18" t="str">
        <x:v>Canada / United States</x:v>
      </x:c>
      <x:c r="H12" s="18" t="str">
        <x:v>break; drums; dance</x:v>
      </x:c>
      <x:c r="I12" s="18" t="str">
        <x:v>A foundational break record and dancer-centered listening</x:v>
      </x:c>
      <x:c r="J12" s="18" t="str">
        <x:v>selected_main_route</x:v>
      </x:c>
      <x:c r="K12" s="18" t="str">
        <x:v>verified_soundcloud_catalog</x:v>
      </x:c>
      <x:c r="L12" s="18" t="str">
        <x:v>https://soundcloud.com/mrbongo/1-01-apache</x:v>
      </x:c>
      <x:c r="M12" s="18" t="str">
        <x:v>resolved_exact</x:v>
      </x:c>
      <x:c r="N12" s="18" t="str">
        <x:v>https://soundcloud.com/mrbongo/1-01-apache</x:v>
      </x:c>
      <x:c r="O12" s="18" t="n">
        <x:v>24912433</x:v>
      </x:c>
      <x:c r="P12" s="18" t="str">
        <x:v>Mr Bongo</x:v>
      </x:c>
      <x:c r="Q12" s="18" t="n">
        <x:v>289572</x:v>
      </x:c>
      <x:c r="R12" s="18" t="str">
        <x:v>open_or_monetized</x:v>
      </x:c>
      <x:c r="S12" s="18" t="str">
        <x:v>Full-length Mr Bongo upload; the shorter catalog result is not the intended album performance.</x:v>
      </x:c>
      <x:c r="T12" s="18" t="str">
        <x:v>track-011</x:v>
      </x:c>
      <x:c r="U12" s="18" t="str">
        <x:v>Distinguish later edits</x:v>
      </x:c>
    </x:row>
    <x:row r="13">
      <x:c r="A13" s="18" t="n">
        <x:v>12</x:v>
      </x:c>
      <x:c r="B13" s="18" t="str">
        <x:v>HH01</x:v>
      </x:c>
      <x:c r="C13" s="18" t="n">
        <x:v>1973</x:v>
      </x:c>
      <x:c r="D13" s="18" t="str">
        <x:v>Lightnin' Rod</x:v>
      </x:c>
      <x:c r="E13" s="18" t="str">
        <x:v>Sport</x:v>
      </x:c>
      <x:c r="F13" s="18" t="str">
        <x:v>original Hustlers Convention album version</x:v>
      </x:c>
      <x:c r="G13" s="18" t="str">
        <x:v>New York</x:v>
      </x:c>
      <x:c r="H13" s="18" t="str">
        <x:v>spoken-word; narrative; funk</x:v>
      </x:c>
      <x:c r="I13" s="18" t="str">
        <x:v>Street narrative over funk ensemble</x:v>
      </x:c>
      <x:c r="J13" s="18" t="str">
        <x:v>selected_main_route</x:v>
      </x:c>
      <x:c r="K13" s="18" t="str">
        <x:v>verified_musicbrainz</x:v>
      </x:c>
      <x:c r="L13" s="18" t="str">
        <x:v>https://musicbrainz.org/recording/8a2873ce-3741-412f-b625-b8c6e3680253</x:v>
      </x:c>
      <x:c r="M13" s="18" t="str">
        <x:v>resolved_exact</x:v>
      </x:c>
      <x:c r="N13" s="18" t="str">
        <x:v>https://soundcloud.com/lightninrod/sport</x:v>
      </x:c>
      <x:c r="O13" s="18" t="n">
        <x:v>1923994064</x:v>
      </x:c>
      <x:c r="P13" s="18" t="str">
        <x:v>Lightnin' Rod</x:v>
      </x:c>
      <x:c r="Q13" s="18" t="n">
        <x:v>155638</x:v>
      </x:c>
      <x:c r="R13" s="18" t="str">
        <x:v>open_or_monetized</x:v>
      </x:c>
      <x:c r="S13" s="18" t="str">
        <x:v>Structured SoundCloud catalog metadata matches artist, title, and intended unaltered version.</x:v>
      </x:c>
      <x:c r="T13" s="18" t="str">
        <x:v>track-012</x:v>
      </x:c>
      <x:c r="U13" s="18" t="str">
        <x:v>Boundary exhibit rather than first-rap claim</x:v>
      </x:c>
    </x:row>
    <x:row r="14">
      <x:c r="A14" s="18" t="n">
        <x:v>13</x:v>
      </x:c>
      <x:c r="B14" s="18" t="str">
        <x:v>HH02</x:v>
      </x:c>
      <x:c r="C14" s="18" t="n">
        <x:v>1978</x:v>
      </x:c>
      <x:c r="D14" s="18" t="str">
        <x:v>Grandmaster Flash and the Furious Four MCs</x:v>
      </x:c>
      <x:c r="E14" s="18" t="str">
        <x:v>Live at the Audubon Ballroom — December 23 1978</x:v>
      </x:c>
      <x:c r="F14" s="18" t="str">
        <x:v>complete surviving party tape</x:v>
      </x:c>
      <x:c r="G14" s="18" t="str">
        <x:v>New York</x:v>
      </x:c>
      <x:c r="H14" s="18" t="str">
        <x:v>party-tape; DJ; MC; live</x:v>
      </x:c>
      <x:c r="I14" s="18" t="str">
        <x:v>Quick-mix DJ and MC interaction before commercial rap</x:v>
      </x:c>
      <x:c r="J14" s="18" t="str">
        <x:v>selected_main_route</x:v>
      </x:c>
      <x:c r="K14" s="18" t="str">
        <x:v>metadata_source_incomplete</x:v>
      </x:c>
      <x:c r="L14" s="18" t="str">
        <x:v>https://musicbrainz.org/ws/2/recording/?query=recording%3A%22Live+at+the+Audubon+Ballroom+%E2%80%94+December+23+1978%22+AND+artist%3A%22Grandmaster+Flash+and+the+Furious+Four+MCs%22&amp;fmt=json&amp;limit=8</x:v>
      </x:c>
      <x:c r="M14" s="18" t="str">
        <x:v>resolved_exact_unofficial</x:v>
      </x:c>
      <x:c r="N14" s="18" t="str">
        <x:v>https://soundcloud.com/hairsmit/1978-12-23-grandmaster-flash</x:v>
      </x:c>
      <x:c r="O14" s="18" t="n">
        <x:v>128733441</x:v>
      </x:c>
      <x:c r="P14" s="18" t="str">
        <x:v>hairsmit</x:v>
      </x:c>
      <x:c r="Q14" s="18" t="n">
        <x:v>1774532</x:v>
      </x:c>
      <x:c r="R14" s="18" t="str">
        <x:v>open_or_monetized</x:v>
      </x:c>
      <x:c r="S14" s="18" t="str">
        <x:v>Date and venue in the upload title match the intended Audubon Ballroom tape.</x:v>
      </x:c>
      <x:c r="T14" s="18" t="str">
        <x:v>track-013</x:v>
      </x:c>
      <x:c r="U14" s="18" t="str">
        <x:v>Archival object; exact carrier and SoundCloud availability unresolved</x:v>
      </x:c>
    </x:row>
    <x:row r="15">
      <x:c r="A15" s="18" t="n">
        <x:v>14</x:v>
      </x:c>
      <x:c r="B15" s="18" t="str">
        <x:v>HH02</x:v>
      </x:c>
      <x:c r="C15" s="18" t="n">
        <x:v>1978</x:v>
      </x:c>
      <x:c r="D15" s="18" t="str">
        <x:v>Furious Four</x:v>
      </x:c>
      <x:c r="E15" s="18" t="str">
        <x:v>Live at Mitchell Gym</x:v>
      </x:c>
      <x:c r="F15" s="18" t="str">
        <x:v>Cornell Troy L. Smith tape 184 side B</x:v>
      </x:c>
      <x:c r="G15" s="18" t="str">
        <x:v>New York</x:v>
      </x:c>
      <x:c r="H15" s="18" t="str">
        <x:v>party-tape; live; crew</x:v>
      </x:c>
      <x:c r="I15" s="18" t="str">
        <x:v>Crew routine and live-room pacing</x:v>
      </x:c>
      <x:c r="J15" s="18" t="str">
        <x:v>selected_main_route</x:v>
      </x:c>
      <x:c r="K15" s="18" t="str">
        <x:v>metadata_source_incomplete</x:v>
      </x:c>
      <x:c r="L15" s="18" t="str">
        <x:v>https://musicbrainz.org/ws/2/recording/?query=recording%3A%22Live+at+Mitchell+Gym%22+AND+artist%3A%22Furious+Four%22&amp;fmt=json&amp;limit=8</x:v>
      </x:c>
      <x:c r="M15" s="18" t="str">
        <x:v>unavailable_exact</x:v>
      </x:c>
      <x:c r="N15" s="18" t="str"/>
      <x:c r="O15" s="18" t="str"/>
      <x:c r="P15" s="18" t="str"/>
      <x:c r="Q15" s="18" t="str"/>
      <x:c r="R15" s="18" t="str"/>
      <x:c r="S15" s="18" t="str">
        <x:v>Cornell tape 184 side B is documented but no exact SoundCloud upload was found.</x:v>
      </x:c>
      <x:c r="T15" s="18" t="str">
        <x:v>track-014</x:v>
      </x:c>
      <x:c r="U15" s="18" t="str">
        <x:v>Archive catalog source required</x:v>
      </x:c>
    </x:row>
    <x:row r="16">
      <x:c r="A16" s="18" t="n">
        <x:v>15</x:v>
      </x:c>
      <x:c r="B16" s="18" t="str">
        <x:v>HH02</x:v>
      </x:c>
      <x:c r="C16" s="18" t="n">
        <x:v>1978</x:v>
      </x:c>
      <x:c r="D16" s="18" t="str">
        <x:v>Funky Four</x:v>
      </x:c>
      <x:c r="E16" s="18" t="str">
        <x:v>Live at unknown location</x:v>
      </x:c>
      <x:c r="F16" s="18" t="str">
        <x:v>Cornell Troy L. Smith tape 230 side A</x:v>
      </x:c>
      <x:c r="G16" s="18" t="str">
        <x:v>New York</x:v>
      </x:c>
      <x:c r="H16" s="18" t="str">
        <x:v>party-tape; live; Sha-Rock</x:v>
      </x:c>
      <x:c r="I16" s="18" t="str">
        <x:v>Early crew performance including a woman MC</x:v>
      </x:c>
      <x:c r="J16" s="18" t="str">
        <x:v>selected_main_route</x:v>
      </x:c>
      <x:c r="K16" s="18" t="str">
        <x:v>metadata_source_incomplete</x:v>
      </x:c>
      <x:c r="L16" s="18" t="str">
        <x:v>https://musicbrainz.org/ws/2/recording/?query=recording%3A%22Live+at+unknown+location%22+AND+artist%3A%22Funky+Four%22&amp;fmt=json&amp;limit=8</x:v>
      </x:c>
      <x:c r="M16" s="18" t="str">
        <x:v>unavailable_exact</x:v>
      </x:c>
      <x:c r="N16" s="18" t="str"/>
      <x:c r="O16" s="18" t="str"/>
      <x:c r="P16" s="18" t="str"/>
      <x:c r="Q16" s="18" t="str"/>
      <x:c r="R16" s="18" t="str"/>
      <x:c r="S16" s="18" t="str">
        <x:v>Cornell tape 230 side A is documented but no exact SoundCloud upload was found.</x:v>
      </x:c>
      <x:c r="T16" s="18" t="str">
        <x:v>track-015</x:v>
      </x:c>
      <x:c r="U16" s="18" t="str">
        <x:v>Exact venue remains unidentified in catalog</x:v>
      </x:c>
    </x:row>
    <x:row r="17">
      <x:c r="A17" s="18" t="n">
        <x:v>16</x:v>
      </x:c>
      <x:c r="B17" s="18" t="str">
        <x:v>HH02</x:v>
      </x:c>
      <x:c r="C17" s="18" t="n">
        <x:v>1978</x:v>
      </x:c>
      <x:c r="D17" s="18" t="str">
        <x:v>Afrika Bambaataa and associated crews</x:v>
      </x:c>
      <x:c r="E17" s="18" t="str">
        <x:v>Birthday Party for DJ Kool Herc at 1590 Jerome Avenue</x:v>
      </x:c>
      <x:c r="F17" s="18" t="str">
        <x:v>complete documented event recording if accessible</x:v>
      </x:c>
      <x:c r="G17" s="18" t="str">
        <x:v>New York</x:v>
      </x:c>
      <x:c r="H17" s="18" t="str">
        <x:v>party-tape; DJ; crew; community</x:v>
      </x:c>
      <x:c r="I17" s="18" t="str">
        <x:v>Named party ecology and crew organization</x:v>
      </x:c>
      <x:c r="J17" s="18" t="str">
        <x:v>selected_main_route</x:v>
      </x:c>
      <x:c r="K17" s="18" t="str">
        <x:v>metadata_source_incomplete</x:v>
      </x:c>
      <x:c r="L17" s="18" t="str">
        <x:v>https://musicbrainz.org/ws/2/recording/?query=recording%3A%22Birthday+Party+for+DJ+Kool+Herc+at+1590+Jerome+Avenue%22+AND+artist%3A%22Afrika+Bambaataa%22&amp;fmt=json&amp;limit=8</x:v>
      </x:c>
      <x:c r="M17" s="18" t="str">
        <x:v>unavailable_exact</x:v>
      </x:c>
      <x:c r="N17" s="18" t="str"/>
      <x:c r="O17" s="18" t="str"/>
      <x:c r="P17" s="18" t="str"/>
      <x:c r="Q17" s="18" t="str"/>
      <x:c r="R17" s="18" t="str"/>
      <x:c r="S17" s="18" t="str">
        <x:v>The documented event recording was not found as an exact SoundCloud upload.</x:v>
      </x:c>
      <x:c r="T17" s="18" t="str">
        <x:v>track-016</x:v>
      </x:c>
      <x:c r="U17" s="18" t="str">
        <x:v>Cornell archive item; audio access unresolved</x:v>
      </x:c>
    </x:row>
    <x:row r="18">
      <x:c r="A18" s="18" t="n">
        <x:v>17</x:v>
      </x:c>
      <x:c r="B18" s="18" t="str">
        <x:v>HH02</x:v>
      </x:c>
      <x:c r="C18" s="18" t="n">
        <x:v>1979</x:v>
      </x:c>
      <x:c r="D18" s="18" t="str">
        <x:v>Grandmaster Flowers</x:v>
      </x:c>
      <x:c r="E18" s="18" t="str">
        <x:v>Live at St. Marks Park Brooklyn</x:v>
      </x:c>
      <x:c r="F18" s="18" t="str">
        <x:v>Cornell Troy L. Smith tape 98</x:v>
      </x:c>
      <x:c r="G18" s="18" t="str">
        <x:v>Brooklyn / New York</x:v>
      </x:c>
      <x:c r="H18" s="18" t="str">
        <x:v>party-tape; disco; breaks; echo</x:v>
      </x:c>
      <x:c r="I18" s="18" t="str">
        <x:v>Pre-rap DJ continuity and park performance</x:v>
      </x:c>
      <x:c r="J18" s="18" t="str">
        <x:v>selected_main_route</x:v>
      </x:c>
      <x:c r="K18" s="18" t="str">
        <x:v>metadata_source_incomplete</x:v>
      </x:c>
      <x:c r="L18" s="18" t="str">
        <x:v>https://musicbrainz.org/ws/2/recording/?query=recording%3A%22Live+at+St.+Marks+Park+Brooklyn%22+AND+artist%3A%22Grandmaster+Flowers%22&amp;fmt=json&amp;limit=8</x:v>
      </x:c>
      <x:c r="M18" s="18" t="str">
        <x:v>unavailable_exact</x:v>
      </x:c>
      <x:c r="N18" s="18" t="str"/>
      <x:c r="O18" s="18" t="str"/>
      <x:c r="P18" s="18" t="str"/>
      <x:c r="Q18" s="18" t="str"/>
      <x:c r="R18" s="18" t="str"/>
      <x:c r="S18" s="18" t="str">
        <x:v>Cornell tape 98 is documented but no exact SoundCloud upload was found.</x:v>
      </x:c>
      <x:c r="T18" s="18" t="str">
        <x:v>track-017</x:v>
      </x:c>
      <x:c r="U18" s="18" t="str">
        <x:v>Archive catalog describes 120-minute tape</x:v>
      </x:c>
    </x:row>
    <x:row r="19">
      <x:c r="A19" s="18" t="n">
        <x:v>18</x:v>
      </x:c>
      <x:c r="B19" s="18" t="str">
        <x:v>HH02</x:v>
      </x:c>
      <x:c r="C19" s="18" t="n">
        <x:v>1979</x:v>
      </x:c>
      <x:c r="D19" s="18" t="str">
        <x:v>Cold Crush Four and Disco Enforcers</x:v>
      </x:c>
      <x:c r="E19" s="18" t="str">
        <x:v>Live at T-Connection</x:v>
      </x:c>
      <x:c r="F19" s="18" t="str">
        <x:v>Cornell Troy L. Smith tape 8</x:v>
      </x:c>
      <x:c r="G19" s="18" t="str">
        <x:v>New York</x:v>
      </x:c>
      <x:c r="H19" s="18" t="str">
        <x:v>party-tape; crew; routine</x:v>
      </x:c>
      <x:c r="I19" s="18" t="str">
        <x:v>Routines over commercial records and live social detail</x:v>
      </x:c>
      <x:c r="J19" s="18" t="str">
        <x:v>selected_main_route</x:v>
      </x:c>
      <x:c r="K19" s="18" t="str">
        <x:v>metadata_source_incomplete</x:v>
      </x:c>
      <x:c r="L19" s="18" t="str">
        <x:v>https://musicbrainz.org/ws/2/recording/?query=recording%3A%22Live+at+T-Connection%22+AND+artist%3A%22Cold+Crush+Four+and+Disco+Enforcers%22&amp;fmt=json&amp;limit=8</x:v>
      </x:c>
      <x:c r="M19" s="18" t="str">
        <x:v>unavailable_exact</x:v>
      </x:c>
      <x:c r="N19" s="18" t="str"/>
      <x:c r="O19" s="18" t="str"/>
      <x:c r="P19" s="18" t="str"/>
      <x:c r="Q19" s="18" t="str"/>
      <x:c r="R19" s="18" t="str"/>
      <x:c r="S19" s="18" t="str">
        <x:v>Cornell tape 8 is documented but no exact SoundCloud upload was found.</x:v>
      </x:c>
      <x:c r="T19" s="18" t="str">
        <x:v>track-018</x:v>
      </x:c>
      <x:c r="U19" s="18" t="str">
        <x:v>Archival object</x:v>
      </x:c>
    </x:row>
    <x:row r="20">
      <x:c r="A20" s="18" t="n">
        <x:v>19</x:v>
      </x:c>
      <x:c r="B20" s="18" t="str">
        <x:v>HH02</x:v>
      </x:c>
      <x:c r="C20" s="18" t="n">
        <x:v>1979</x:v>
      </x:c>
      <x:c r="D20" s="18" t="str">
        <x:v>DJ Hollywood</x:v>
      </x:c>
      <x:c r="E20" s="18" t="str">
        <x:v>Live club routine</x:v>
      </x:c>
      <x:c r="F20" s="18" t="str">
        <x:v>best-authenticated complete 1970s club tape</x:v>
      </x:c>
      <x:c r="G20" s="18" t="str">
        <x:v>New York</x:v>
      </x:c>
      <x:c r="H20" s="18" t="str">
        <x:v>club; MC; party-tape</x:v>
      </x:c>
      <x:c r="I20" s="18" t="str">
        <x:v>Club-style solo MC continuity beside Bronx crews</x:v>
      </x:c>
      <x:c r="J20" s="18" t="str">
        <x:v>selected_main_route</x:v>
      </x:c>
      <x:c r="K20" s="18" t="str">
        <x:v>metadata_source_incomplete</x:v>
      </x:c>
      <x:c r="L20" s="18" t="str">
        <x:v>https://musicbrainz.org/ws/2/recording/?query=recording%3A%22Live+club+routine%22+AND+artist%3A%22DJ+Hollywood%22&amp;fmt=json&amp;limit=8</x:v>
      </x:c>
      <x:c r="M20" s="18" t="str">
        <x:v>unavailable_exact</x:v>
      </x:c>
      <x:c r="N20" s="18" t="str"/>
      <x:c r="O20" s="18" t="str"/>
      <x:c r="P20" s="18" t="str"/>
      <x:c r="Q20" s="18" t="str"/>
      <x:c r="R20" s="18" t="str"/>
      <x:c r="S20" s="18" t="str">
        <x:v>Search results belong to a contemporary DJ using the same name; no authenticated 1970s club tape was accepted.</x:v>
      </x:c>
      <x:c r="T20" s="18" t="str">
        <x:v>track-019</x:v>
      </x:c>
      <x:c r="U20" s="18" t="str">
        <x:v>Exact date venue and carrier must be resolved</x:v>
      </x:c>
    </x:row>
    <x:row r="21">
      <x:c r="A21" s="18" t="n">
        <x:v>20</x:v>
      </x:c>
      <x:c r="B21" s="18" t="str">
        <x:v>HH02</x:v>
      </x:c>
      <x:c r="C21" s="18" t="n">
        <x:v>1979</x:v>
      </x:c>
      <x:c r="D21" s="18" t="str">
        <x:v>Disco Twins and Infinity Machine</x:v>
      </x:c>
      <x:c r="E21" s="18" t="str">
        <x:v>Live party recording</x:v>
      </x:c>
      <x:c r="F21" s="18" t="str">
        <x:v>best-authenticated surviving 1970s tape</x:v>
      </x:c>
      <x:c r="G21" s="18" t="str">
        <x:v>Queens / New York</x:v>
      </x:c>
      <x:c r="H21" s="18" t="str">
        <x:v>party-tape; DJ; sound-system</x:v>
      </x:c>
      <x:c r="I21" s="18" t="str">
        <x:v>Mobile crew and borough circulation</x:v>
      </x:c>
      <x:c r="J21" s="18" t="str">
        <x:v>selected_main_route</x:v>
      </x:c>
      <x:c r="K21" s="18" t="str">
        <x:v>metadata_source_incomplete</x:v>
      </x:c>
      <x:c r="L21" s="18" t="str">
        <x:v>https://musicbrainz.org/ws/2/recording/?query=recording%3A%22Live+party+recording%22+AND+artist%3A%22Disco+Twins+and+Infinity+Machine%22&amp;fmt=json&amp;limit=8</x:v>
      </x:c>
      <x:c r="M21" s="18" t="str">
        <x:v>unavailable_exact</x:v>
      </x:c>
      <x:c r="N21" s="18" t="str"/>
      <x:c r="O21" s="18" t="str"/>
      <x:c r="P21" s="18" t="str"/>
      <x:c r="Q21" s="18" t="str"/>
      <x:c r="R21" s="18" t="str"/>
      <x:c r="S21" s="18" t="str">
        <x:v>No authenticated surviving 1970s Disco Twins and Infinity Machine tape was found on SoundCloud.</x:v>
      </x:c>
      <x:c r="T21" s="18" t="str">
        <x:v>track-020</x:v>
      </x:c>
      <x:c r="U21" s="18" t="str">
        <x:v>Exact recording must be resolved before acceptance</x:v>
      </x:c>
    </x:row>
    <x:row r="22">
      <x:c r="A22" s="18" t="n">
        <x:v>21</x:v>
      </x:c>
      <x:c r="B22" s="18" t="str">
        <x:v>HH03</x:v>
      </x:c>
      <x:c r="C22" s="18" t="n">
        <x:v>1979</x:v>
      </x:c>
      <x:c r="D22" s="18" t="str">
        <x:v>The Sugarhill Gang</x:v>
      </x:c>
      <x:c r="E22" s="18" t="str">
        <x:v>Rapper's Delight</x:v>
      </x:c>
      <x:c r="F22" s="18" t="str">
        <x:v>original long 12-inch version</x:v>
      </x:c>
      <x:c r="G22" s="18" t="str">
        <x:v>New Jersey</x:v>
      </x:c>
      <x:c r="H22" s="18" t="str">
        <x:v>party-rap; disco-band; commercial</x:v>
      </x:c>
      <x:c r="I22" s="18" t="str">
        <x:v>Commercial breakthrough and studio translation of MC routines</x:v>
      </x:c>
      <x:c r="J22" s="18" t="str">
        <x:v>selected_main_route</x:v>
      </x:c>
      <x:c r="K22" s="18" t="str">
        <x:v>verified_musicbrainz</x:v>
      </x:c>
      <x:c r="L22" s="18" t="str">
        <x:v>https://musicbrainz.org/recording/c64c4530-098a-4bfb-9f13-567cc51a5173</x:v>
      </x:c>
      <x:c r="M22" s="18" t="str">
        <x:v>resolved_exact</x:v>
      </x:c>
      <x:c r="N22" s="18" t="str">
        <x:v>https://soundcloud.com/thesugarhillgang/the-sugarhill-gang-rappers</x:v>
      </x:c>
      <x:c r="O22" s="18" t="n">
        <x:v>232327378</x:v>
      </x:c>
      <x:c r="P22" s="18" t="str">
        <x:v>The Sugarhill Gang</x:v>
      </x:c>
      <x:c r="Q22" s="18" t="n">
        <x:v>427389</x:v>
      </x:c>
      <x:c r="R22" s="18" t="str">
        <x:v>open_or_monetized</x:v>
      </x:c>
      <x:c r="S22" s="18" t="str">
        <x:v>Structured SoundCloud catalog metadata matches artist, title, and intended unaltered version.</x:v>
      </x:c>
      <x:c r="T22" s="18" t="str">
        <x:v>track-021</x:v>
      </x:c>
      <x:c r="U22" s="18" t="str">
        <x:v>Canonical and cliched because indispensable</x:v>
      </x:c>
    </x:row>
    <x:row r="23">
      <x:c r="A23" s="18" t="n">
        <x:v>22</x:v>
      </x:c>
      <x:c r="B23" s="18" t="str">
        <x:v>HH03</x:v>
      </x:c>
      <x:c r="C23" s="18" t="n">
        <x:v>1979</x:v>
      </x:c>
      <x:c r="D23" s="18" t="str">
        <x:v>The Fatback Band featuring King Tim III</x:v>
      </x:c>
      <x:c r="E23" s="18" t="str">
        <x:v>King Tim III (Personality Jock)</x:v>
      </x:c>
      <x:c r="F23" s="18" t="str">
        <x:v>original 12-inch version</x:v>
      </x:c>
      <x:c r="G23" s="18" t="str">
        <x:v>New York</x:v>
      </x:c>
      <x:c r="H23" s="18" t="str">
        <x:v>funk-band; early-recorded-rap</x:v>
      </x:c>
      <x:c r="I23" s="18" t="str">
        <x:v>Rap embedded inside an established funk act</x:v>
      </x:c>
      <x:c r="J23" s="18" t="str">
        <x:v>selected_main_route</x:v>
      </x:c>
      <x:c r="K23" s="18" t="str">
        <x:v>verified_soundcloud_catalog</x:v>
      </x:c>
      <x:c r="L23" s="18" t="str">
        <x:v>https://soundcloud.com/fatbackband/king-tim-iii-personality</x:v>
      </x:c>
      <x:c r="M23" s="18" t="str">
        <x:v>resolved_exact</x:v>
      </x:c>
      <x:c r="N23" s="18" t="str">
        <x:v>https://soundcloud.com/fatbackband/king-tim-iii-personality</x:v>
      </x:c>
      <x:c r="O23" s="18" t="n">
        <x:v>284873885</x:v>
      </x:c>
      <x:c r="P23" s="18" t="str">
        <x:v>Fatback Band</x:v>
      </x:c>
      <x:c r="Q23" s="18" t="n">
        <x:v>373185</x:v>
      </x:c>
      <x:c r="R23" s="18" t="str">
        <x:v>open_or_monetized</x:v>
      </x:c>
      <x:c r="S23" s="18" t="str">
        <x:v>Structured SoundCloud catalog metadata matches artist, title, and intended unaltered version.</x:v>
      </x:c>
      <x:c r="T23" s="18" t="str">
        <x:v>track-022</x:v>
      </x:c>
      <x:c r="U23" s="18" t="str">
        <x:v>Verify original credit and duration</x:v>
      </x:c>
    </x:row>
    <x:row r="24">
      <x:c r="A24" s="18" t="n">
        <x:v>23</x:v>
      </x:c>
      <x:c r="B24" s="18" t="str">
        <x:v>HH03</x:v>
      </x:c>
      <x:c r="C24" s="18" t="n">
        <x:v>1979</x:v>
      </x:c>
      <x:c r="D24" s="18" t="str">
        <x:v>The Sequence</x:v>
      </x:c>
      <x:c r="E24" s="18" t="str">
        <x:v>Funk You Up</x:v>
      </x:c>
      <x:c r="F24" s="18" t="str">
        <x:v>original 12-inch version</x:v>
      </x:c>
      <x:c r="G24" s="18" t="str">
        <x:v>South Carolina / New York</x:v>
      </x:c>
      <x:c r="H24" s="18" t="str">
        <x:v>women; party-rap; Southern</x:v>
      </x:c>
      <x:c r="I24" s="18" t="str">
        <x:v>Early women-led recorded rap and non-New-York origin</x:v>
      </x:c>
      <x:c r="J24" s="18" t="str">
        <x:v>selected_main_route</x:v>
      </x:c>
      <x:c r="K24" s="18" t="str">
        <x:v>verified_musicbrainz</x:v>
      </x:c>
      <x:c r="L24" s="18" t="str">
        <x:v>https://musicbrainz.org/recording/59f2c895-bcd3-4da1-b409-a19a0f228542</x:v>
      </x:c>
      <x:c r="M24" s="18" t="str">
        <x:v>resolved_exact_unofficial</x:v>
      </x:c>
      <x:c r="N24" s="18" t="str">
        <x:v>https://soundcloud.com/christophe-perrin-1/the-sequence-funk-you-up</x:v>
      </x:c>
      <x:c r="O24" s="18" t="n">
        <x:v>383245022</x:v>
      </x:c>
      <x:c r="P24" s="18" t="str">
        <x:v>TotOfPERRIN</x:v>
      </x:c>
      <x:c r="Q24" s="18" t="n">
        <x:v>410421</x:v>
      </x:c>
      <x:c r="R24" s="18" t="str">
        <x:v>open_or_monetized</x:v>
      </x:c>
      <x:c r="S24" s="18" t="str">
        <x:v>Title and full 12-inch duration match; uploader is not artist-controlled.</x:v>
      </x:c>
      <x:c r="T24" s="18" t="str">
        <x:v>track-023</x:v>
      </x:c>
      <x:c r="U24" s="18" t="str">
        <x:v>Verify Sugar Hill issue</x:v>
      </x:c>
    </x:row>
    <x:row r="25">
      <x:c r="A25" s="18" t="n">
        <x:v>24</x:v>
      </x:c>
      <x:c r="B25" s="18" t="str">
        <x:v>HH03</x:v>
      </x:c>
      <x:c r="C25" s="18" t="n">
        <x:v>1979</x:v>
      </x:c>
      <x:c r="D25" s="18" t="str">
        <x:v>Lady B</x:v>
      </x:c>
      <x:c r="E25" s="18" t="str">
        <x:v>To the Beat Y'all</x:v>
      </x:c>
      <x:c r="F25" s="18" t="str">
        <x:v>original 12-inch version</x:v>
      </x:c>
      <x:c r="G25" s="18" t="str">
        <x:v>Philadelphia</x:v>
      </x:c>
      <x:c r="H25" s="18" t="str">
        <x:v>women; regional; party-rap</x:v>
      </x:c>
      <x:c r="I25" s="18" t="str">
        <x:v>Philadelphia's early recorded presence</x:v>
      </x:c>
      <x:c r="J25" s="18" t="str">
        <x:v>selected_main_route</x:v>
      </x:c>
      <x:c r="K25" s="18" t="str">
        <x:v>verified_musicbrainz</x:v>
      </x:c>
      <x:c r="L25" s="18" t="str">
        <x:v>https://musicbrainz.org/recording/860430a9-0bdd-4d5d-82d3-99ef8c19ed7f</x:v>
      </x:c>
      <x:c r="M25" s="18" t="str">
        <x:v>resolved_exact_unofficial</x:v>
      </x:c>
      <x:c r="N25" s="18" t="str">
        <x:v>https://soundcloud.com/illskillzentertainment/ttby</x:v>
      </x:c>
      <x:c r="O25" s="18" t="n">
        <x:v>78908736</x:v>
      </x:c>
      <x:c r="P25" s="18" t="str">
        <x:v>ill-literate-skill</x:v>
      </x:c>
      <x:c r="Q25" s="18" t="n">
        <x:v>260125</x:v>
      </x:c>
      <x:c r="R25" s="18" t="str">
        <x:v>open_or_monetized</x:v>
      </x:c>
      <x:c r="S25" s="18" t="str">
        <x:v>Full-length upload matches Lady B's original recording; uploader is not artist-controlled.</x:v>
      </x:c>
      <x:c r="T25" s="18" t="str">
        <x:v>track-024</x:v>
      </x:c>
      <x:c r="U25" s="18" t="str">
        <x:v>Exact label issue required</x:v>
      </x:c>
    </x:row>
    <x:row r="26">
      <x:c r="A26" s="18" t="n">
        <x:v>25</x:v>
      </x:c>
      <x:c r="B26" s="18" t="str">
        <x:v>HH03</x:v>
      </x:c>
      <x:c r="C26" s="18" t="n">
        <x:v>1979</x:v>
      </x:c>
      <x:c r="D26" s="18" t="str">
        <x:v>Spoonie Gee</x:v>
      </x:c>
      <x:c r="E26" s="18" t="str">
        <x:v>Spoonin Rap</x:v>
      </x:c>
      <x:c r="F26" s="18" t="str">
        <x:v>original Sound of New York 12-inch</x:v>
      </x:c>
      <x:c r="G26" s="18" t="str">
        <x:v>New York</x:v>
      </x:c>
      <x:c r="H26" s="18" t="str">
        <x:v>solo-MC; old-school</x:v>
      </x:c>
      <x:c r="I26" s="18" t="str">
        <x:v>Intimate solo voice beside crew routines</x:v>
      </x:c>
      <x:c r="J26" s="18" t="str">
        <x:v>selected_main_route</x:v>
      </x:c>
      <x:c r="K26" s="18" t="str">
        <x:v>verified_soundcloud_catalog</x:v>
      </x:c>
      <x:c r="L26" s="18" t="str">
        <x:v>https://soundcloud.com/spooniegee/spoonin-rap-1</x:v>
      </x:c>
      <x:c r="M26" s="18" t="str">
        <x:v>resolved_exact</x:v>
      </x:c>
      <x:c r="N26" s="18" t="str">
        <x:v>https://soundcloud.com/spooniegee/spoonin-rap-1</x:v>
      </x:c>
      <x:c r="O26" s="18" t="n">
        <x:v>1028246683</x:v>
      </x:c>
      <x:c r="P26" s="18" t="str">
        <x:v>Spoonie Gee</x:v>
      </x:c>
      <x:c r="Q26" s="18" t="n">
        <x:v>220160</x:v>
      </x:c>
      <x:c r="R26" s="18" t="str">
        <x:v>open_or_monetized</x:v>
      </x:c>
      <x:c r="S26" s="18" t="str">
        <x:v>Structured SoundCloud catalog metadata matches artist, title, and intended unaltered version.</x:v>
      </x:c>
      <x:c r="T26" s="18" t="str">
        <x:v>track-025</x:v>
      </x:c>
      <x:c r="U26" s="18" t="str">
        <x:v>Version verification required</x:v>
      </x:c>
    </x:row>
    <x:row r="27">
      <x:c r="A27" s="18" t="n">
        <x:v>26</x:v>
      </x:c>
      <x:c r="B27" s="18" t="str">
        <x:v>HH03</x:v>
      </x:c>
      <x:c r="C27" s="18" t="n">
        <x:v>1980</x:v>
      </x:c>
      <x:c r="D27" s="18" t="str">
        <x:v>Kurtis Blow</x:v>
      </x:c>
      <x:c r="E27" s="18" t="str">
        <x:v>The Breaks</x:v>
      </x:c>
      <x:c r="F27" s="18" t="str">
        <x:v>original 12-inch version</x:v>
      </x:c>
      <x:c r="G27" s="18" t="str">
        <x:v>New York</x:v>
      </x:c>
      <x:c r="H27" s="18" t="str">
        <x:v>party-rap; crossover</x:v>
      </x:c>
      <x:c r="I27" s="18" t="str">
        <x:v>Breakdown form and major-label crossover</x:v>
      </x:c>
      <x:c r="J27" s="18" t="str">
        <x:v>selected_main_route</x:v>
      </x:c>
      <x:c r="K27" s="18" t="str">
        <x:v>verified_soundcloud_catalog</x:v>
      </x:c>
      <x:c r="L27" s="18" t="str">
        <x:v>https://soundcloud.com/kurtis-blow-official/the-breaks-1</x:v>
      </x:c>
      <x:c r="M27" s="18" t="str">
        <x:v>resolved_exact</x:v>
      </x:c>
      <x:c r="N27" s="18" t="str">
        <x:v>https://soundcloud.com/kurtis-blow-official/the-breaks-1</x:v>
      </x:c>
      <x:c r="O27" s="18" t="n">
        <x:v>253478905</x:v>
      </x:c>
      <x:c r="P27" s="18" t="str">
        <x:v>Kurtis Blow</x:v>
      </x:c>
      <x:c r="Q27" s="18" t="n">
        <x:v>469316</x:v>
      </x:c>
      <x:c r="R27" s="18" t="str">
        <x:v>subscriber_catalog</x:v>
      </x:c>
      <x:c r="S27" s="18" t="str">
        <x:v>Structured SoundCloud catalog metadata matches artist, title, and intended unaltered version.</x:v>
      </x:c>
      <x:c r="T27" s="18" t="str">
        <x:v>track-026</x:v>
      </x:c>
      <x:c r="U27" s="18" t="str">
        <x:v>Canonical</x:v>
      </x:c>
    </x:row>
    <x:row r="28">
      <x:c r="A28" s="18" t="n">
        <x:v>27</x:v>
      </x:c>
      <x:c r="B28" s="18" t="str">
        <x:v>HH03</x:v>
      </x:c>
      <x:c r="C28" s="18" t="n">
        <x:v>1980</x:v>
      </x:c>
      <x:c r="D28" s="18" t="str">
        <x:v>Brother D with Collective Effort</x:v>
      </x:c>
      <x:c r="E28" s="18" t="str">
        <x:v>How We Gonna Make the Black Nation Rise?</x:v>
      </x:c>
      <x:c r="F28" s="18" t="str">
        <x:v>original 12-inch version</x:v>
      </x:c>
      <x:c r="G28" s="18" t="str">
        <x:v>New York</x:v>
      </x:c>
      <x:c r="H28" s="18" t="str">
        <x:v>political; message</x:v>
      </x:c>
      <x:c r="I28" s="18" t="str">
        <x:v>Early explicitly political commercial rap</x:v>
      </x:c>
      <x:c r="J28" s="18" t="str">
        <x:v>selected_main_route</x:v>
      </x:c>
      <x:c r="K28" s="18" t="str">
        <x:v>verified_musicbrainz</x:v>
      </x:c>
      <x:c r="L28" s="18" t="str">
        <x:v>https://musicbrainz.org/recording/f011a4d8-6562-4f70-ad24-3f45df1f2404</x:v>
      </x:c>
      <x:c r="M28" s="18" t="str">
        <x:v>resolved_exact_unofficial</x:v>
      </x:c>
      <x:c r="N28" s="18" t="str">
        <x:v>https://soundcloud.com/rimasrebeldes/brother-d-with-collective</x:v>
      </x:c>
      <x:c r="O28" s="18" t="n">
        <x:v>57808104</x:v>
      </x:c>
      <x:c r="P28" s="18" t="str">
        <x:v>Rimas Rebeldes</x:v>
      </x:c>
      <x:c r="Q28" s="18" t="n">
        <x:v>352499</x:v>
      </x:c>
      <x:c r="R28" s="18" t="str">
        <x:v>open_or_monetized</x:v>
      </x:c>
      <x:c r="S28" s="18" t="str">
        <x:v>Title, credit, and duration match the original 12-inch; uploader is not artist-controlled.</x:v>
      </x:c>
      <x:c r="T28" s="18" t="str">
        <x:v>track-027</x:v>
      </x:c>
      <x:c r="U28" s="18" t="str">
        <x:v>Recognition still unconfirmed</x:v>
      </x:c>
    </x:row>
    <x:row r="29">
      <x:c r="A29" s="18" t="n">
        <x:v>28</x:v>
      </x:c>
      <x:c r="B29" s="18" t="str">
        <x:v>HH03</x:v>
      </x:c>
      <x:c r="C29" s="18" t="n">
        <x:v>1980</x:v>
      </x:c>
      <x:c r="D29" s="18" t="str">
        <x:v>The Treacherous Three</x:v>
      </x:c>
      <x:c r="E29" s="18" t="str">
        <x:v>The New Rap Language</x:v>
      </x:c>
      <x:c r="F29" s="18" t="str">
        <x:v>original 12-inch version</x:v>
      </x:c>
      <x:c r="G29" s="18" t="str">
        <x:v>New York</x:v>
      </x:c>
      <x:c r="H29" s="18" t="str">
        <x:v>flow; speed; crew</x:v>
      </x:c>
      <x:c r="I29" s="18" t="str">
        <x:v>Rhythmic density and changing MC technique</x:v>
      </x:c>
      <x:c r="J29" s="18" t="str">
        <x:v>selected_main_route</x:v>
      </x:c>
      <x:c r="K29" s="18" t="str">
        <x:v>verified_soundcloud_catalog</x:v>
      </x:c>
      <x:c r="L29" s="18" t="str">
        <x:v>https://soundcloud.com/spooniegee/the-new-rap-language</x:v>
      </x:c>
      <x:c r="M29" s="18" t="str">
        <x:v>resolved_exact</x:v>
      </x:c>
      <x:c r="N29" s="18" t="str">
        <x:v>https://soundcloud.com/spooniegee/the-new-rap-language</x:v>
      </x:c>
      <x:c r="O29" s="18" t="n">
        <x:v>1026269884</x:v>
      </x:c>
      <x:c r="P29" s="18" t="str">
        <x:v>Spoonie Gee</x:v>
      </x:c>
      <x:c r="Q29" s="18" t="n">
        <x:v>481411</x:v>
      </x:c>
      <x:c r="R29" s="18" t="str">
        <x:v>open_or_monetized</x:v>
      </x:c>
      <x:c r="S29" s="18" t="str">
        <x:v>Structured SoundCloud catalog metadata matches artist, title, and intended unaltered version.</x:v>
      </x:c>
      <x:c r="T29" s="18" t="str">
        <x:v>track-028</x:v>
      </x:c>
      <x:c r="U29" s="18" t="str">
        <x:v>Exact artist credit with Spoonie Gee</x:v>
      </x:c>
    </x:row>
    <x:row r="30">
      <x:c r="A30" s="18" t="n">
        <x:v>29</x:v>
      </x:c>
      <x:c r="B30" s="18" t="str">
        <x:v>HH03</x:v>
      </x:c>
      <x:c r="C30" s="18" t="n">
        <x:v>1980</x:v>
      </x:c>
      <x:c r="D30" s="18" t="str">
        <x:v>Funky Four Plus One</x:v>
      </x:c>
      <x:c r="E30" s="18" t="str">
        <x:v>That's the Joint</x:v>
      </x:c>
      <x:c r="F30" s="18" t="str">
        <x:v>original 12-inch version</x:v>
      </x:c>
      <x:c r="G30" s="18" t="str">
        <x:v>New York</x:v>
      </x:c>
      <x:c r="H30" s="18" t="str">
        <x:v>crew; women; party-rap</x:v>
      </x:c>
      <x:c r="I30" s="18" t="str">
        <x:v>Interlocking crew routine and Sha-Rock's presence</x:v>
      </x:c>
      <x:c r="J30" s="18" t="str">
        <x:v>selected_main_route</x:v>
      </x:c>
      <x:c r="K30" s="18" t="str">
        <x:v>verified_soundcloud_catalog</x:v>
      </x:c>
      <x:c r="L30" s="18" t="str">
        <x:v>https://soundcloud.com/thefunkyfourplusone/thats-the-joint</x:v>
      </x:c>
      <x:c r="M30" s="18" t="str">
        <x:v>resolved_exact</x:v>
      </x:c>
      <x:c r="N30" s="18" t="str">
        <x:v>https://soundcloud.com/thefunkyfourplusone/thats-the-joint</x:v>
      </x:c>
      <x:c r="O30" s="18" t="n">
        <x:v>1320862126</x:v>
      </x:c>
      <x:c r="P30" s="18" t="str">
        <x:v>The Funky Four Plus One</x:v>
      </x:c>
      <x:c r="Q30" s="18" t="n">
        <x:v>559909</x:v>
      </x:c>
      <x:c r="R30" s="18" t="str">
        <x:v>subscriber_catalog</x:v>
      </x:c>
      <x:c r="S30" s="18" t="str">
        <x:v>Structured SoundCloud catalog metadata matches artist, title, and intended unaltered version.</x:v>
      </x:c>
      <x:c r="T30" s="18" t="str">
        <x:v>track-029</x:v>
      </x:c>
      <x:c r="U30" s="18" t="str">
        <x:v>Canonical live-to-studio comparison</x:v>
      </x:c>
    </x:row>
    <x:row r="31">
      <x:c r="A31" s="18" t="n">
        <x:v>30</x:v>
      </x:c>
      <x:c r="B31" s="18" t="str">
        <x:v>HH03</x:v>
      </x:c>
      <x:c r="C31" s="18" t="n">
        <x:v>1981</x:v>
      </x:c>
      <x:c r="D31" s="18" t="str">
        <x:v>Grandmaster Flash</x:v>
      </x:c>
      <x:c r="E31" s="18" t="str">
        <x:v>The Adventures of Grandmaster Flash on the Wheels of Steel</x:v>
      </x:c>
      <x:c r="F31" s="18" t="str">
        <x:v>original 12-inch version</x:v>
      </x:c>
      <x:c r="G31" s="18" t="str">
        <x:v>New York</x:v>
      </x:c>
      <x:c r="H31" s="18" t="str">
        <x:v>DJ; turntablism; collage</x:v>
      </x:c>
      <x:c r="I31" s="18" t="str">
        <x:v>DJ technique becoming a composed commercial recording</x:v>
      </x:c>
      <x:c r="J31" s="18" t="str">
        <x:v>selected_main_route</x:v>
      </x:c>
      <x:c r="K31" s="18" t="str">
        <x:v>verified_musicbrainz</x:v>
      </x:c>
      <x:c r="L31" s="18" t="str">
        <x:v>https://musicbrainz.org/recording/c63caf69-8117-4f44-9c75-0053a39308bf</x:v>
      </x:c>
      <x:c r="M31" s="18" t="str">
        <x:v>resolved_exact</x:v>
      </x:c>
      <x:c r="N31" s="18" t="str">
        <x:v>https://soundcloud.com/grandmasterflashmusic/the-adventures-of-grandmaster</x:v>
      </x:c>
      <x:c r="O31" s="18" t="n">
        <x:v>255865275</x:v>
      </x:c>
      <x:c r="P31" s="18" t="str">
        <x:v>Grandmaster Flash</x:v>
      </x:c>
      <x:c r="Q31" s="18" t="n">
        <x:v>426801</x:v>
      </x:c>
      <x:c r="R31" s="18" t="str">
        <x:v>subscriber_catalog</x:v>
      </x:c>
      <x:c r="S31" s="18" t="str">
        <x:v>Artist-catalog upload is the full-length recording.</x:v>
      </x:c>
      <x:c r="T31" s="18" t="str">
        <x:v>track-030</x:v>
      </x:c>
      <x:c r="U31" s="18" t="str">
        <x:v>Verify full 7-minute version</x:v>
      </x:c>
    </x:row>
    <x:row r="32">
      <x:c r="A32" s="18" t="n">
        <x:v>31</x:v>
      </x:c>
      <x:c r="B32" s="18" t="str">
        <x:v>HH03</x:v>
      </x:c>
      <x:c r="C32" s="18" t="n">
        <x:v>1981</x:v>
      </x:c>
      <x:c r="D32" s="18" t="str">
        <x:v>Mean Machine</x:v>
      </x:c>
      <x:c r="E32" s="18" t="str">
        <x:v>Disco Dream</x:v>
      </x:c>
      <x:c r="F32" s="18" t="str">
        <x:v>original 12-inch version</x:v>
      </x:c>
      <x:c r="G32" s="18" t="str">
        <x:v>New York / Puerto Rican diaspora</x:v>
      </x:c>
      <x:c r="H32" s="18" t="str">
        <x:v>bilingual; Spanish; crew</x:v>
      </x:c>
      <x:c r="I32" s="18" t="str">
        <x:v>Spanish-English flow inside early New York rap</x:v>
      </x:c>
      <x:c r="J32" s="18" t="str">
        <x:v>selected_main_route</x:v>
      </x:c>
      <x:c r="K32" s="18" t="str">
        <x:v>verified_musicbrainz</x:v>
      </x:c>
      <x:c r="L32" s="18" t="str">
        <x:v>https://musicbrainz.org/recording/fe7ad7fa-1911-4ad7-96b3-e7699cfed40c</x:v>
      </x:c>
      <x:c r="M32" s="18" t="str">
        <x:v>resolved_exact</x:v>
      </x:c>
      <x:c r="N32" s="18" t="str">
        <x:v>https://soundcloud.com/djlordsear/disco-dream-the-mean-machine-1981</x:v>
      </x:c>
      <x:c r="O32" s="18" t="n">
        <x:v>1370132605</x:v>
      </x:c>
      <x:c r="P32" s="18" t="str">
        <x:v>Dj Lord Sear - The Lord Sear Special</x:v>
      </x:c>
      <x:c r="Q32" s="18" t="n">
        <x:v>387448</x:v>
      </x:c>
      <x:c r="R32" s="18" t="str">
        <x:v>open_or_monetized</x:v>
      </x:c>
      <x:c r="S32" s="18" t="str">
        <x:v>Structured SoundCloud catalog metadata matches artist, title, and intended unaltered version.</x:v>
      </x:c>
      <x:c r="T32" s="18" t="str">
        <x:v>track-031</x:v>
      </x:c>
      <x:c r="U32" s="18" t="str">
        <x:v>Transnational Latino foundation</x:v>
      </x:c>
    </x:row>
    <x:row r="33">
      <x:c r="A33" s="18" t="n">
        <x:v>32</x:v>
      </x:c>
      <x:c r="B33" s="18" t="str">
        <x:v>HH03</x:v>
      </x:c>
      <x:c r="C33" s="18" t="n">
        <x:v>1982</x:v>
      </x:c>
      <x:c r="D33" s="18" t="str">
        <x:v>Grandmaster Flash and the Furious Five</x:v>
      </x:c>
      <x:c r="E33" s="18" t="str">
        <x:v>The Message</x:v>
      </x:c>
      <x:c r="F33" s="18" t="str">
        <x:v>original 12-inch version</x:v>
      </x:c>
      <x:c r="G33" s="18" t="str">
        <x:v>New York</x:v>
      </x:c>
      <x:c r="H33" s="18" t="str">
        <x:v>message; social-reportage</x:v>
      </x:c>
      <x:c r="I33" s="18" t="str">
        <x:v>Social reportage as a major commercial form</x:v>
      </x:c>
      <x:c r="J33" s="18" t="str">
        <x:v>selected_main_route</x:v>
      </x:c>
      <x:c r="K33" s="18" t="str">
        <x:v>verified_musicbrainz</x:v>
      </x:c>
      <x:c r="L33" s="18" t="str">
        <x:v>https://musicbrainz.org/recording/85672810-5771-486b-a508-c77f2ab79670</x:v>
      </x:c>
      <x:c r="M33" s="18" t="str">
        <x:v>resolved_exact_unofficial</x:v>
      </x:c>
      <x:c r="N33" s="18" t="str">
        <x:v>https://soundcloud.com/xx_tacolover_x/the-message-grandmaster-flash</x:v>
      </x:c>
      <x:c r="O33" s="18" t="n">
        <x:v>139492343</x:v>
      </x:c>
      <x:c r="P33" s="18" t="str">
        <x:v>Swag_master69</x:v>
      </x:c>
      <x:c r="Q33" s="18" t="n">
        <x:v>428160</x:v>
      </x:c>
      <x:c r="R33" s="18" t="str">
        <x:v>open_or_monetized</x:v>
      </x:c>
      <x:c r="S33" s="18" t="str">
        <x:v>Seven-minute upload matches the original 12-inch recording; uploader is not artist-controlled.</x:v>
      </x:c>
      <x:c r="T33" s="18" t="str">
        <x:v>track-032</x:v>
      </x:c>
      <x:c r="U33" s="18" t="str">
        <x:v>Tom recognition anchor; exact credit required</x:v>
      </x:c>
    </x:row>
    <x:row r="34">
      <x:c r="A34" s="18" t="n">
        <x:v>33</x:v>
      </x:c>
      <x:c r="B34" s="18" t="str">
        <x:v>HH03</x:v>
      </x:c>
      <x:c r="C34" s="18" t="n">
        <x:v>1982</x:v>
      </x:c>
      <x:c r="D34" s="18" t="str">
        <x:v>Afrika Bambaataa and the Soulsonic Force</x:v>
      </x:c>
      <x:c r="E34" s="18" t="str">
        <x:v>Planet Rock</x:v>
      </x:c>
      <x:c r="F34" s="18" t="str">
        <x:v>original 12-inch vocal version</x:v>
      </x:c>
      <x:c r="G34" s="18" t="str">
        <x:v>New York</x:v>
      </x:c>
      <x:c r="H34" s="18" t="str">
        <x:v>electro; machine-funk; dance</x:v>
      </x:c>
      <x:c r="I34" s="18" t="str">
        <x:v>Electro futurism and transatlantic machine exchange</x:v>
      </x:c>
      <x:c r="J34" s="18" t="str">
        <x:v>selected_main_route</x:v>
      </x:c>
      <x:c r="K34" s="18" t="str">
        <x:v>verified_soundcloud_catalog</x:v>
      </x:c>
      <x:c r="L34" s="18" t="str">
        <x:v>https://soundcloud.com/afrika-bambaataa/planet-rock-original-12</x:v>
      </x:c>
      <x:c r="M34" s="18" t="str">
        <x:v>resolved_exact</x:v>
      </x:c>
      <x:c r="N34" s="18" t="str">
        <x:v>https://soundcloud.com/afrika-bambaataa/planet-rock-original-12</x:v>
      </x:c>
      <x:c r="O34" s="18" t="n">
        <x:v>889772956</x:v>
      </x:c>
      <x:c r="P34" s="18" t="str">
        <x:v>AFRIKA BAMBAATAA</x:v>
      </x:c>
      <x:c r="Q34" s="18" t="n">
        <x:v>384000</x:v>
      </x:c>
      <x:c r="R34" s="18" t="str">
        <x:v>open_or_monetized</x:v>
      </x:c>
      <x:c r="S34" s="18" t="str">
        <x:v>Artist-catalog entry explicitly identifies the original 12-inch version.</x:v>
      </x:c>
      <x:c r="T34" s="18" t="str">
        <x:v>track-033</x:v>
      </x:c>
      <x:c r="U34" s="18" t="str">
        <x:v>Distinguish instrumental and later remasters</x:v>
      </x:c>
    </x:row>
    <x:row r="35">
      <x:c r="A35" s="18" t="n">
        <x:v>34</x:v>
      </x:c>
      <x:c r="B35" s="18" t="str">
        <x:v>HH03</x:v>
      </x:c>
      <x:c r="C35" s="18" t="n">
        <x:v>1981</x:v>
      </x:c>
      <x:c r="D35" s="18" t="str">
        <x:v>Chagrin d'amour</x:v>
      </x:c>
      <x:c r="E35" s="18" t="str">
        <x:v>Chacun fait (c'qui lui plaît)</x:v>
      </x:c>
      <x:c r="F35" s="18" t="str">
        <x:v>original long version</x:v>
      </x:c>
      <x:c r="G35" s="18" t="str">
        <x:v>France</x:v>
      </x:c>
      <x:c r="H35" s="18" t="str">
        <x:v>French-language; global-uptake</x:v>
      </x:c>
      <x:c r="I35" s="18" t="str">
        <x:v>Early French-language rap-adjacent commercial adaptation</x:v>
      </x:c>
      <x:c r="J35" s="18" t="str">
        <x:v>selected_main_route</x:v>
      </x:c>
      <x:c r="K35" s="18" t="str">
        <x:v>verified_soundcloud_catalog</x:v>
      </x:c>
      <x:c r="L35" s="18" t="str">
        <x:v>https://soundcloud.com/chagrindamourofficial/chacun-fait-cqui-lui-plait</x:v>
      </x:c>
      <x:c r="M35" s="18" t="str">
        <x:v>resolved_exact</x:v>
      </x:c>
      <x:c r="N35" s="18" t="str">
        <x:v>https://soundcloud.com/chagrindamourofficial/chacun-fait-cqui-lui-plait</x:v>
      </x:c>
      <x:c r="O35" s="18" t="n">
        <x:v>295623997</x:v>
      </x:c>
      <x:c r="P35" s="18" t="str">
        <x:v>Chagrin d'Amour</x:v>
      </x:c>
      <x:c r="Q35" s="18" t="n">
        <x:v>249280</x:v>
      </x:c>
      <x:c r="R35" s="18" t="str">
        <x:v>subscriber_catalog</x:v>
      </x:c>
      <x:c r="S35" s="18" t="str">
        <x:v>Artist-catalog 1981 long version; shorter and later mixes were rejected.</x:v>
      </x:c>
      <x:c r="T35" s="18" t="str">
        <x:v>track-034</x:v>
      </x:c>
      <x:c r="U35" s="18" t="str">
        <x:v>Boundary status requires contextual care</x:v>
      </x:c>
    </x:row>
    <x:row r="36">
      <x:c r="A36" s="18" t="n">
        <x:v>35</x:v>
      </x:c>
      <x:c r="B36" s="18" t="str">
        <x:v>HH03</x:v>
      </x:c>
      <x:c r="C36" s="18" t="n">
        <x:v>1981</x:v>
      </x:c>
      <x:c r="D36" s="18" t="str">
        <x:v>Yellow Magic Orchestra</x:v>
      </x:c>
      <x:c r="E36" s="18" t="str">
        <x:v>Rap Phenomena</x:v>
      </x:c>
      <x:c r="F36" s="18" t="str">
        <x:v>original BGM album version</x:v>
      </x:c>
      <x:c r="G36" s="18" t="str">
        <x:v>Japan</x:v>
      </x:c>
      <x:c r="H36" s="18" t="str">
        <x:v>Japanese; electro; experimental</x:v>
      </x:c>
      <x:c r="I36" s="18" t="str">
        <x:v>Early Japanese engagement with rap form and machine pop</x:v>
      </x:c>
      <x:c r="J36" s="18" t="str">
        <x:v>selected_main_route</x:v>
      </x:c>
      <x:c r="K36" s="18" t="str">
        <x:v>verified_musicbrainz</x:v>
      </x:c>
      <x:c r="L36" s="18" t="str">
        <x:v>https://musicbrainz.org/recording/2fdac1e7-b58f-4855-b549-325e9dc21ec0</x:v>
      </x:c>
      <x:c r="M36" s="18" t="str">
        <x:v>resolved_exact</x:v>
      </x:c>
      <x:c r="N36" s="18" t="str">
        <x:v>https://soundcloud.com/yellowmagicorchestra-music/rap-phenomena</x:v>
      </x:c>
      <x:c r="O36" s="18" t="n">
        <x:v>525087015</x:v>
      </x:c>
      <x:c r="P36" s="18" t="str">
        <x:v>Yellow Magic Orchestra</x:v>
      </x:c>
      <x:c r="Q36" s="18" t="n">
        <x:v>272980</x:v>
      </x:c>
      <x:c r="R36" s="18" t="str">
        <x:v>subscriber_catalog</x:v>
      </x:c>
      <x:c r="S36" s="18" t="str">
        <x:v>Structured SoundCloud catalog metadata matches artist, title, and intended unaltered version.</x:v>
      </x:c>
      <x:c r="T36" s="18" t="str">
        <x:v>track-035</x:v>
      </x:c>
      <x:c r="U36" s="18" t="str">
        <x:v>Rap-adjacent boundary exhibit</x:v>
      </x:c>
    </x:row>
    <x:row r="37">
      <x:c r="A37" s="18" t="n">
        <x:v>36</x:v>
      </x:c>
      <x:c r="B37" s="18" t="str">
        <x:v>HH03</x:v>
      </x:c>
      <x:c r="C37" s="18" t="n">
        <x:v>1983</x:v>
      </x:c>
      <x:c r="D37" s="18" t="str">
        <x:v>Run-D.M.C.</x:v>
      </x:c>
      <x:c r="E37" s="18" t="str">
        <x:v>It's Like That</x:v>
      </x:c>
      <x:c r="F37" s="18" t="str">
        <x:v>original 12-inch version</x:v>
      </x:c>
      <x:c r="G37" s="18" t="str">
        <x:v>Queens / New York</x:v>
      </x:c>
      <x:c r="H37" s="18" t="str">
        <x:v>new-school; sparse-drums; message</x:v>
      </x:c>
      <x:c r="I37" s="18" t="str">
        <x:v>Sparse drum-machine attack and new vocal posture</x:v>
      </x:c>
      <x:c r="J37" s="18" t="str">
        <x:v>selected_main_route</x:v>
      </x:c>
      <x:c r="K37" s="18" t="str">
        <x:v>verified_soundcloud_catalog</x:v>
      </x:c>
      <x:c r="L37" s="18" t="str">
        <x:v>https://soundcloud.com/run-dmcofficial/its-like-that-2</x:v>
      </x:c>
      <x:c r="M37" s="18" t="str">
        <x:v>resolved_exact</x:v>
      </x:c>
      <x:c r="N37" s="18" t="str">
        <x:v>https://soundcloud.com/run-dmcofficial/its-like-that-2</x:v>
      </x:c>
      <x:c r="O37" s="18" t="n">
        <x:v>256076759</x:v>
      </x:c>
      <x:c r="P37" s="18" t="str">
        <x:v>RUN-DMC</x:v>
      </x:c>
      <x:c r="Q37" s="18" t="n">
        <x:v>250671</x:v>
      </x:c>
      <x:c r="R37" s="18" t="str">
        <x:v>subscriber_catalog</x:v>
      </x:c>
      <x:c r="S37" s="18" t="str">
        <x:v>Structured SoundCloud catalog metadata matches artist, title, and intended unaltered version.</x:v>
      </x:c>
      <x:c r="T37" s="18" t="str">
        <x:v>track-036</x:v>
      </x:c>
      <x:c r="U37" s="18" t="str">
        <x:v>Transition exhibit</x:v>
      </x:c>
    </x:row>
    <x:row r="38">
      <x:c r="A38" s="18" t="n">
        <x:v>37</x:v>
      </x:c>
      <x:c r="B38" s="18" t="str">
        <x:v>HH03</x:v>
      </x:c>
      <x:c r="C38" s="18" t="n">
        <x:v>1984</x:v>
      </x:c>
      <x:c r="D38" s="18" t="str">
        <x:v>Roxanne Shanté</x:v>
      </x:c>
      <x:c r="E38" s="18" t="str">
        <x:v>Roxanne's Revenge</x:v>
      </x:c>
      <x:c r="F38" s="18" t="str">
        <x:v>original Pop Art 12-inch version</x:v>
      </x:c>
      <x:c r="G38" s="18" t="str">
        <x:v>Queens / New York</x:v>
      </x:c>
      <x:c r="H38" s="18" t="str">
        <x:v>women; answer-record; battle</x:v>
      </x:c>
      <x:c r="I38" s="18" t="str">
        <x:v>Answer-record economy and teenage battle authority</x:v>
      </x:c>
      <x:c r="J38" s="18" t="str">
        <x:v>selected_main_route</x:v>
      </x:c>
      <x:c r="K38" s="18" t="str">
        <x:v>verified_musicbrainz</x:v>
      </x:c>
      <x:c r="L38" s="18" t="str">
        <x:v>https://musicbrainz.org/recording/f4ac0ef0-7305-4d7a-8be4-7248568e6ec6</x:v>
      </x:c>
      <x:c r="M38" s="18" t="str">
        <x:v>resolved_exact</x:v>
      </x:c>
      <x:c r="N38" s="18" t="str">
        <x:v>https://soundcloud.com/roxanneshant/roxannes-revenge-1</x:v>
      </x:c>
      <x:c r="O38" s="18" t="n">
        <x:v>431506983</x:v>
      </x:c>
      <x:c r="P38" s="18" t="str">
        <x:v>Roxanne Shanté</x:v>
      </x:c>
      <x:c r="Q38" s="18" t="n">
        <x:v>309487</x:v>
      </x:c>
      <x:c r="R38" s="18" t="str">
        <x:v>open_or_monetized</x:v>
      </x:c>
      <x:c r="S38" s="18" t="str">
        <x:v>Structured SoundCloud catalog metadata matches artist, title, and intended unaltered version.</x:v>
      </x:c>
      <x:c r="T38" s="18" t="str">
        <x:v>track-037</x:v>
      </x:c>
      <x:c r="U38" s="18" t="str">
        <x:v>Verify original versus re-recording</x:v>
      </x:c>
    </x:row>
    <x:row r="39">
      <x:c r="A39" s="18" t="n">
        <x:v>38</x:v>
      </x:c>
      <x:c r="B39" s="18" t="str">
        <x:v>HH03</x:v>
      </x:c>
      <x:c r="C39" s="18" t="n">
        <x:v>1983</x:v>
      </x:c>
      <x:c r="D39" s="18" t="str">
        <x:v>Newtrament</x:v>
      </x:c>
      <x:c r="E39" s="18" t="str">
        <x:v>London Bridge Is Falling Down</x:v>
      </x:c>
      <x:c r="F39" s="18" t="str">
        <x:v>original 12-inch version</x:v>
      </x:c>
      <x:c r="G39" s="18" t="str">
        <x:v>United Kingdom</x:v>
      </x:c>
      <x:c r="H39" s="18" t="str">
        <x:v>UK-rap; electro; global-uptake</x:v>
      </x:c>
      <x:c r="I39" s="18" t="str">
        <x:v>Early recorded British rap and electro adaptation</x:v>
      </x:c>
      <x:c r="J39" s="18" t="str">
        <x:v>selected_main_route</x:v>
      </x:c>
      <x:c r="K39" s="18" t="str">
        <x:v>metadata_source_incomplete</x:v>
      </x:c>
      <x:c r="L39" s="18" t="str">
        <x:v>https://musicbrainz.org/recording/adc4ce03-c8ff-46df-9bfc-4a4d41d0e993</x:v>
      </x:c>
      <x:c r="M39" s="18" t="str">
        <x:v>unavailable_exact</x:v>
      </x:c>
      <x:c r="N39" s="18" t="str"/>
      <x:c r="O39" s="18" t="str"/>
      <x:c r="P39" s="18" t="str"/>
      <x:c r="Q39" s="18" t="str"/>
      <x:c r="R39" s="18" t="str"/>
      <x:c r="S39" s="18" t="str">
        <x:v>Search results with this generic title were unrelated nursery-rhyme recordings; no Newtrament original was accepted.</x:v>
      </x:c>
      <x:c r="T39" s="18" t="str">
        <x:v>track-038</x:v>
      </x:c>
      <x:c r="U39" s="18" t="str">
        <x:v>Verify label and mix</x:v>
      </x:c>
    </x:row>
    <x:row r="40">
      <x:c r="A40" s="18" t="n">
        <x:v>39</x:v>
      </x:c>
      <x:c r="B40" s="18" t="str">
        <x:v>HH04</x:v>
      </x:c>
      <x:c r="C40" s="18" t="n">
        <x:v>1983</x:v>
      </x:c>
      <x:c r="D40" s="18" t="str">
        <x:v>Run-D.M.C.</x:v>
      </x:c>
      <x:c r="E40" s="18" t="str">
        <x:v>Sucker M.C.'s (Krush-Groove 1)</x:v>
      </x:c>
      <x:c r="F40" s="18" t="str">
        <x:v>original 12-inch version</x:v>
      </x:c>
      <x:c r="G40" s="18" t="str">
        <x:v>Queens / New York</x:v>
      </x:c>
      <x:c r="H40" s="18" t="str">
        <x:v>new-school; sparse-drums</x:v>
      </x:c>
      <x:c r="I40" s="18" t="str">
        <x:v>Austere drums and changed MC-DJ relationship</x:v>
      </x:c>
      <x:c r="J40" s="18" t="str">
        <x:v>selected_main_route</x:v>
      </x:c>
      <x:c r="K40" s="18" t="str">
        <x:v>verified_musicbrainz</x:v>
      </x:c>
      <x:c r="L40" s="18" t="str">
        <x:v>https://musicbrainz.org/recording/bb51741e-16e1-43f2-a2a2-0aed1b2a039f</x:v>
      </x:c>
      <x:c r="M40" s="18" t="str">
        <x:v>resolved_exact</x:v>
      </x:c>
      <x:c r="N40" s="18" t="str">
        <x:v>https://soundcloud.com/run-dmcofficial/sucker-m-c-s-krush-groove-1</x:v>
      </x:c>
      <x:c r="O40" s="18" t="n">
        <x:v>256076472</x:v>
      </x:c>
      <x:c r="P40" s="18" t="str">
        <x:v>RUN-DMC</x:v>
      </x:c>
      <x:c r="Q40" s="18" t="n">
        <x:v>189910</x:v>
      </x:c>
      <x:c r="R40" s="18" t="str">
        <x:v>subscriber_catalog</x:v>
      </x:c>
      <x:c r="S40" s="18" t="str">
        <x:v>Structured SoundCloud catalog metadata matches artist, title, and intended unaltered version.</x:v>
      </x:c>
      <x:c r="T40" s="18" t="str">
        <x:v>track-039</x:v>
      </x:c>
      <x:c r="U40" s="18" t="str">
        <x:v>Chronological bridge</x:v>
      </x:c>
    </x:row>
    <x:row r="41">
      <x:c r="A41" s="18" t="n">
        <x:v>40</x:v>
      </x:c>
      <x:c r="B41" s="18" t="str">
        <x:v>HH04</x:v>
      </x:c>
      <x:c r="C41" s="18" t="n">
        <x:v>1985</x:v>
      </x:c>
      <x:c r="D41" s="18" t="str">
        <x:v>LL Cool J</x:v>
      </x:c>
      <x:c r="E41" s="18" t="str">
        <x:v>I Can't Live Without My Radio</x:v>
      </x:c>
      <x:c r="F41" s="18" t="str">
        <x:v>original Radio album version</x:v>
      </x:c>
      <x:c r="G41" s="18" t="str">
        <x:v>Queens / New York</x:v>
      </x:c>
      <x:c r="H41" s="18" t="str">
        <x:v>new-school; Def-Jam; persona</x:v>
      </x:c>
      <x:c r="I41" s="18" t="str">
        <x:v>Solo star power and hard minimal production</x:v>
      </x:c>
      <x:c r="J41" s="18" t="str">
        <x:v>selected_main_route</x:v>
      </x:c>
      <x:c r="K41" s="18" t="str">
        <x:v>verified_musicbrainz</x:v>
      </x:c>
      <x:c r="L41" s="18" t="str">
        <x:v>https://musicbrainz.org/recording/339f7030-8ba5-4971-828c-6eb4b49a3e40</x:v>
      </x:c>
      <x:c r="M41" s="18" t="str">
        <x:v>resolved_exact</x:v>
      </x:c>
      <x:c r="N41" s="18" t="str">
        <x:v>https://soundcloud.com/llcooljofficial/i-cant-live-without-my-radio</x:v>
      </x:c>
      <x:c r="O41" s="18" t="n">
        <x:v>256108305</x:v>
      </x:c>
      <x:c r="P41" s="18" t="str">
        <x:v>LL COOL J</x:v>
      </x:c>
      <x:c r="Q41" s="18" t="n">
        <x:v>327575</x:v>
      </x:c>
      <x:c r="R41" s="18" t="str">
        <x:v>subscriber_catalog</x:v>
      </x:c>
      <x:c r="S41" s="18" t="str">
        <x:v>Structured SoundCloud catalog metadata matches artist, title, and intended unaltered version.</x:v>
      </x:c>
      <x:c r="T41" s="18" t="str">
        <x:v>track-040</x:v>
      </x:c>
      <x:c r="U41" s="18" t="str">
        <x:v>Canonical</x:v>
      </x:c>
    </x:row>
    <x:row r="42">
      <x:c r="A42" s="18" t="n">
        <x:v>41</x:v>
      </x:c>
      <x:c r="B42" s="18" t="str">
        <x:v>HH04</x:v>
      </x:c>
      <x:c r="C42" s="18" t="n">
        <x:v>1985</x:v>
      </x:c>
      <x:c r="D42" s="18" t="str">
        <x:v>Schoolly D</x:v>
      </x:c>
      <x:c r="E42" s="18" t="str">
        <x:v>P.S.K. What Does It Mean?</x:v>
      </x:c>
      <x:c r="F42" s="18" t="str">
        <x:v>original 12-inch version</x:v>
      </x:c>
      <x:c r="G42" s="18" t="str">
        <x:v>Philadelphia</x:v>
      </x:c>
      <x:c r="H42" s="18" t="str">
        <x:v>gangsta-lineage; drum-machine</x:v>
      </x:c>
      <x:c r="I42" s="18" t="str">
        <x:v>Philadelphia minimalism and gangsta-rap precursor debate</x:v>
      </x:c>
      <x:c r="J42" s="18" t="str">
        <x:v>selected_main_route</x:v>
      </x:c>
      <x:c r="K42" s="18" t="str">
        <x:v>verified_musicbrainz</x:v>
      </x:c>
      <x:c r="L42" s="18" t="str">
        <x:v>https://musicbrainz.org/recording/da868a05-85b6-4fad-b6e6-220f825b9d37</x:v>
      </x:c>
      <x:c r="M42" s="18" t="str">
        <x:v>resolved_exact</x:v>
      </x:c>
      <x:c r="N42" s="18" t="str">
        <x:v>https://soundcloud.com/schoolly-d-official/p-s-k-what-does-it-mean</x:v>
      </x:c>
      <x:c r="O42" s="18" t="n">
        <x:v>253583152</x:v>
      </x:c>
      <x:c r="P42" s="18" t="str">
        <x:v>Schoolly D</x:v>
      </x:c>
      <x:c r="Q42" s="18" t="n">
        <x:v>388937</x:v>
      </x:c>
      <x:c r="R42" s="18" t="str">
        <x:v>subscriber_catalog</x:v>
      </x:c>
      <x:c r="S42" s="18" t="str">
        <x:v>Structured SoundCloud catalog metadata matches artist, title, and intended unaltered version.</x:v>
      </x:c>
      <x:c r="T42" s="18" t="str">
        <x:v>track-041</x:v>
      </x:c>
      <x:c r="U42" s="18" t="str">
        <x:v>Avoid single-invention claim</x:v>
      </x:c>
    </x:row>
    <x:row r="43">
      <x:c r="A43" s="18" t="n">
        <x:v>42</x:v>
      </x:c>
      <x:c r="B43" s="18" t="str">
        <x:v>HH04</x:v>
      </x:c>
      <x:c r="C43" s="18" t="n">
        <x:v>1985</x:v>
      </x:c>
      <x:c r="D43" s="18" t="str">
        <x:v>Doug E. Fresh and the Get Fresh Crew</x:v>
      </x:c>
      <x:c r="E43" s="18" t="str">
        <x:v>The Show</x:v>
      </x:c>
      <x:c r="F43" s="18" t="str">
        <x:v>original 12-inch version</x:v>
      </x:c>
      <x:c r="G43" s="18" t="str">
        <x:v>New York</x:v>
      </x:c>
      <x:c r="H43" s="18" t="str">
        <x:v>beatbox; crew; performance</x:v>
      </x:c>
      <x:c r="I43" s="18" t="str">
        <x:v>Human beatboxing and theatrical crew arrangement</x:v>
      </x:c>
      <x:c r="J43" s="18" t="str">
        <x:v>selected_main_route</x:v>
      </x:c>
      <x:c r="K43" s="18" t="str">
        <x:v>metadata_source_incomplete</x:v>
      </x:c>
      <x:c r="L43" s="18" t="str">
        <x:v>https://musicbrainz.org/recording/850d5a2c-b5d9-4eaf-be2c-f7e7e482f279</x:v>
      </x:c>
      <x:c r="M43" s="18" t="str">
        <x:v>resolved_exact_unofficial</x:v>
      </x:c>
      <x:c r="N43" s="18" t="str">
        <x:v>https://soundcloud.com/lowndes69/doug-e-fresh-the-get-fresh</x:v>
      </x:c>
      <x:c r="O43" s="18" t="n">
        <x:v>127525663</x:v>
      </x:c>
      <x:c r="P43" s="18" t="str">
        <x:v>lowndes69</x:v>
      </x:c>
      <x:c r="Q43" s="18" t="n">
        <x:v>367341</x:v>
      </x:c>
      <x:c r="R43" s="18" t="str">
        <x:v>open_or_monetized</x:v>
      </x:c>
      <x:c r="S43" s="18" t="str">
        <x:v>Full-length user upload is the intended recording; artist-catalog search results returned another track.</x:v>
      </x:c>
      <x:c r="T43" s="18" t="str">
        <x:v>track-042</x:v>
      </x:c>
      <x:c r="U43" s="18" t="str">
        <x:v>Pair with La Di Da Di if fringe space allows</x:v>
      </x:c>
    </x:row>
    <x:row r="44">
      <x:c r="A44" s="18" t="n">
        <x:v>43</x:v>
      </x:c>
      <x:c r="B44" s="18" t="str">
        <x:v>HH04</x:v>
      </x:c>
      <x:c r="C44" s="18" t="n">
        <x:v>1986</x:v>
      </x:c>
      <x:c r="D44" s="18" t="str">
        <x:v>Eric B. &amp; Rakim</x:v>
      </x:c>
      <x:c r="E44" s="18" t="str">
        <x:v>Eric B. Is President</x:v>
      </x:c>
      <x:c r="F44" s="18" t="str">
        <x:v>original 12-inch version</x:v>
      </x:c>
      <x:c r="G44" s="18" t="str">
        <x:v>Long Island / New York</x:v>
      </x:c>
      <x:c r="H44" s="18" t="str">
        <x:v>flow; sampling; DJ-MC</x:v>
      </x:c>
      <x:c r="I44" s="18" t="str">
        <x:v>A changed internal rhyme and flow standard</x:v>
      </x:c>
      <x:c r="J44" s="18" t="str">
        <x:v>selected_main_route</x:v>
      </x:c>
      <x:c r="K44" s="18" t="str">
        <x:v>verified_musicbrainz</x:v>
      </x:c>
      <x:c r="L44" s="18" t="str">
        <x:v>https://musicbrainz.org/recording/e351e490-cc8a-40f6-bd82-f8d247608ceb</x:v>
      </x:c>
      <x:c r="M44" s="18" t="str">
        <x:v>resolved_exact_unofficial</x:v>
      </x:c>
      <x:c r="N44" s="18" t="str">
        <x:v>https://soundcloud.com/eric-b-music-group/eric-b-rakim-eric-b-is</x:v>
      </x:c>
      <x:c r="O44" s="18" t="n">
        <x:v>97199421</x:v>
      </x:c>
      <x:c r="P44" s="18" t="str">
        <x:v>Eric B Music Group</x:v>
      </x:c>
      <x:c r="Q44" s="18" t="n">
        <x:v>291606</x:v>
      </x:c>
      <x:c r="R44" s="18" t="str">
        <x:v>open_or_monetized</x:v>
      </x:c>
      <x:c r="S44" s="18" t="str">
        <x:v>Upload explicitly identifies the original 12-inch version; the artist catalog's longer entry was rejected.</x:v>
      </x:c>
      <x:c r="T44" s="18" t="str">
        <x:v>track-043</x:v>
      </x:c>
      <x:c r="U44" s="18" t="str">
        <x:v>Verify Marley Marl role carefully</x:v>
      </x:c>
    </x:row>
    <x:row r="45">
      <x:c r="A45" s="18" t="n">
        <x:v>44</x:v>
      </x:c>
      <x:c r="B45" s="18" t="str">
        <x:v>HH04</x:v>
      </x:c>
      <x:c r="C45" s="18" t="n">
        <x:v>1986</x:v>
      </x:c>
      <x:c r="D45" s="18" t="str">
        <x:v>Boogie Down Productions</x:v>
      </x:c>
      <x:c r="E45" s="18" t="str">
        <x:v>South Bronx</x:v>
      </x:c>
      <x:c r="F45" s="18" t="str">
        <x:v>original 12-inch version</x:v>
      </x:c>
      <x:c r="G45" s="18" t="str">
        <x:v>Bronx / New York</x:v>
      </x:c>
      <x:c r="H45" s="18" t="str">
        <x:v>battle; regional-identity; sampling</x:v>
      </x:c>
      <x:c r="I45" s="18" t="str">
        <x:v>Battle record as historical and geographic argument</x:v>
      </x:c>
      <x:c r="J45" s="18" t="str">
        <x:v>selected_main_route</x:v>
      </x:c>
      <x:c r="K45" s="18" t="str">
        <x:v>verified_musicbrainz</x:v>
      </x:c>
      <x:c r="L45" s="18" t="str">
        <x:v>https://musicbrainz.org/recording/358346b4-1461-4586-9ad1-c9b6f3c224ec</x:v>
      </x:c>
      <x:c r="M45" s="18" t="str">
        <x:v>resolved_exact</x:v>
      </x:c>
      <x:c r="N45" s="18" t="str">
        <x:v>https://soundcloud.com/boogie-down-productions/south-bronx-1</x:v>
      </x:c>
      <x:c r="O45" s="18" t="n">
        <x:v>274888578</x:v>
      </x:c>
      <x:c r="P45" s="18" t="str">
        <x:v>Boogie Down Productions</x:v>
      </x:c>
      <x:c r="Q45" s="18" t="n">
        <x:v>308639</x:v>
      </x:c>
      <x:c r="R45" s="18" t="str">
        <x:v>subscriber_catalog</x:v>
      </x:c>
      <x:c r="S45" s="18" t="str">
        <x:v>Structured SoundCloud catalog metadata matches artist, title, and intended unaltered version.</x:v>
      </x:c>
      <x:c r="T45" s="18" t="str">
        <x:v>track-044</x:v>
      </x:c>
      <x:c r="U45" s="18" t="str">
        <x:v>Bridge to Bridge Wars context</x:v>
      </x:c>
    </x:row>
    <x:row r="46">
      <x:c r="A46" s="18" t="n">
        <x:v>45</x:v>
      </x:c>
      <x:c r="B46" s="18" t="str">
        <x:v>HH04</x:v>
      </x:c>
      <x:c r="C46" s="18" t="n">
        <x:v>1986</x:v>
      </x:c>
      <x:c r="D46" s="18" t="str">
        <x:v>Beastie Boys</x:v>
      </x:c>
      <x:c r="E46" s="18" t="str">
        <x:v>Paul Revere</x:v>
      </x:c>
      <x:c r="F46" s="18" t="str">
        <x:v>original Licensed to Ill album version</x:v>
      </x:c>
      <x:c r="G46" s="18" t="str">
        <x:v>New York</x:v>
      </x:c>
      <x:c r="H46" s="18" t="str">
        <x:v>Def-Jam; crossover; reverse-tape</x:v>
      </x:c>
      <x:c r="I46" s="18" t="str">
        <x:v>White participation commercial scale and studio play</x:v>
      </x:c>
      <x:c r="J46" s="18" t="str">
        <x:v>selected_main_route</x:v>
      </x:c>
      <x:c r="K46" s="18" t="str">
        <x:v>verified_musicbrainz</x:v>
      </x:c>
      <x:c r="L46" s="18" t="str">
        <x:v>https://musicbrainz.org/recording/14cf3d99-3a5c-4709-8f3e-5319befab6bc</x:v>
      </x:c>
      <x:c r="M46" s="18" t="str">
        <x:v>resolved_exact</x:v>
      </x:c>
      <x:c r="N46" s="18" t="str">
        <x:v>https://soundcloud.com/beastieboys/paul-revere</x:v>
      </x:c>
      <x:c r="O46" s="18" t="n">
        <x:v>257074935</x:v>
      </x:c>
      <x:c r="P46" s="18" t="str">
        <x:v>Beastie Boys</x:v>
      </x:c>
      <x:c r="Q46" s="18" t="n">
        <x:v>220891</x:v>
      </x:c>
      <x:c r="R46" s="18" t="str">
        <x:v>subscriber_catalog</x:v>
      </x:c>
      <x:c r="S46" s="18" t="str">
        <x:v>Structured SoundCloud catalog metadata matches artist, title, and intended unaltered version.</x:v>
      </x:c>
      <x:c r="T46" s="18" t="str">
        <x:v>track-045</x:v>
      </x:c>
      <x:c r="U46" s="18" t="str">
        <x:v>Canonical but not sole Beasties representative</x:v>
      </x:c>
    </x:row>
    <x:row r="47">
      <x:c r="A47" s="18" t="n">
        <x:v>46</x:v>
      </x:c>
      <x:c r="B47" s="18" t="str">
        <x:v>HH04</x:v>
      </x:c>
      <x:c r="C47" s="18" t="n">
        <x:v>1986</x:v>
      </x:c>
      <x:c r="D47" s="18" t="str">
        <x:v>Ultramagnetic MC's</x:v>
      </x:c>
      <x:c r="E47" s="18" t="str">
        <x:v>Ego Trippin'</x:v>
      </x:c>
      <x:c r="F47" s="18" t="str">
        <x:v>original 12-inch version</x:v>
      </x:c>
      <x:c r="G47" s="18" t="str">
        <x:v>Bronx / New York</x:v>
      </x:c>
      <x:c r="H47" s="18" t="str">
        <x:v>sampling; experimental; battle</x:v>
      </x:c>
      <x:c r="I47" s="18" t="str">
        <x:v>Unstable samples and eccentric verbal attack</x:v>
      </x:c>
      <x:c r="J47" s="18" t="str">
        <x:v>selected_main_route</x:v>
      </x:c>
      <x:c r="K47" s="18" t="str">
        <x:v>verified_soundcloud_catalog</x:v>
      </x:c>
      <x:c r="L47" s="18" t="str">
        <x:v>https://soundcloud.com/ultramagneticmcs/ultramagnetic-mcs-ego-trippin</x:v>
      </x:c>
      <x:c r="M47" s="18" t="str">
        <x:v>resolved_exact</x:v>
      </x:c>
      <x:c r="N47" s="18" t="str">
        <x:v>https://soundcloud.com/ultramagneticmcs/ultramagnetic-mcs-ego-trippin</x:v>
      </x:c>
      <x:c r="O47" s="18" t="n">
        <x:v>232329212</x:v>
      </x:c>
      <x:c r="P47" s="18" t="str">
        <x:v>Ultramagnetic Mcs</x:v>
      </x:c>
      <x:c r="Q47" s="18" t="n">
        <x:v>326713</x:v>
      </x:c>
      <x:c r="R47" s="18" t="str">
        <x:v>open_or_monetized</x:v>
      </x:c>
      <x:c r="S47" s="18" t="str">
        <x:v>Artist-catalog full version; the higher-ranked trap edit was rejected.</x:v>
      </x:c>
      <x:c r="T47" s="18" t="str">
        <x:v>track-046</x:v>
      </x:c>
      <x:c r="U47" s="18" t="str">
        <x:v>Deep-route anchor</x:v>
      </x:c>
    </x:row>
    <x:row r="48">
      <x:c r="A48" s="18" t="n">
        <x:v>47</x:v>
      </x:c>
      <x:c r="B48" s="18" t="str">
        <x:v>HH04</x:v>
      </x:c>
      <x:c r="C48" s="18" t="n">
        <x:v>1986</x:v>
      </x:c>
      <x:c r="D48" s="18" t="str">
        <x:v>Biz Markie</x:v>
      </x:c>
      <x:c r="E48" s="18" t="str">
        <x:v>Make the Music with Your Mouth Biz</x:v>
      </x:c>
      <x:c r="F48" s="18" t="str">
        <x:v>original 12-inch version</x:v>
      </x:c>
      <x:c r="G48" s="18" t="str">
        <x:v>New York</x:v>
      </x:c>
      <x:c r="H48" s="18" t="str">
        <x:v>beatbox; humor; Marley-Marl</x:v>
      </x:c>
      <x:c r="I48" s="18" t="str">
        <x:v>Beatbox as hook rhythm and comic persona</x:v>
      </x:c>
      <x:c r="J48" s="18" t="str">
        <x:v>selected_main_route</x:v>
      </x:c>
      <x:c r="K48" s="18" t="str">
        <x:v>verified_musicbrainz</x:v>
      </x:c>
      <x:c r="L48" s="18" t="str">
        <x:v>https://musicbrainz.org/recording/ed8ddcd1-c4b3-44c6-98d2-f5014c3d440b</x:v>
      </x:c>
      <x:c r="M48" s="18" t="str">
        <x:v>resolved_exact</x:v>
      </x:c>
      <x:c r="N48" s="18" t="str">
        <x:v>https://soundcloud.com/bizmarkieofficial/make-the-music-with-your-mouth</x:v>
      </x:c>
      <x:c r="O48" s="18" t="n">
        <x:v>255812039</x:v>
      </x:c>
      <x:c r="P48" s="18" t="str">
        <x:v>Biz Markie</x:v>
      </x:c>
      <x:c r="Q48" s="18" t="n">
        <x:v>304301</x:v>
      </x:c>
      <x:c r="R48" s="18" t="str">
        <x:v>subscriber_catalog</x:v>
      </x:c>
      <x:c r="S48" s="18" t="str">
        <x:v>Structured SoundCloud catalog metadata matches artist, title, and intended unaltered version.</x:v>
      </x:c>
      <x:c r="T48" s="18" t="str">
        <x:v>track-047</x:v>
      </x:c>
      <x:c r="U48" s="18" t="str">
        <x:v>Verify version</x:v>
      </x:c>
    </x:row>
    <x:row r="49">
      <x:c r="A49" s="18" t="n">
        <x:v>48</x:v>
      </x:c>
      <x:c r="B49" s="18" t="str">
        <x:v>HH04</x:v>
      </x:c>
      <x:c r="C49" s="18" t="n">
        <x:v>1986</x:v>
      </x:c>
      <x:c r="D49" s="18" t="str">
        <x:v>2 Live Crew</x:v>
      </x:c>
      <x:c r="E49" s="18" t="str">
        <x:v>Throw the D</x:v>
      </x:c>
      <x:c r="F49" s="18" t="str">
        <x:v>original 12-inch version</x:v>
      </x:c>
      <x:c r="G49" s="18" t="str">
        <x:v>Miami</x:v>
      </x:c>
      <x:c r="H49" s="18" t="str">
        <x:v>Miami-bass; dance; explicit</x:v>
      </x:c>
      <x:c r="I49" s="18" t="str">
        <x:v>Miami bass rhythm and dance instruction</x:v>
      </x:c>
      <x:c r="J49" s="18" t="str">
        <x:v>selected_main_route</x:v>
      </x:c>
      <x:c r="K49" s="18" t="str">
        <x:v>verified_musicbrainz</x:v>
      </x:c>
      <x:c r="L49" s="18" t="str">
        <x:v>https://musicbrainz.org/recording/54d8fb16-a4ed-44a5-ac61-184856160ad2</x:v>
      </x:c>
      <x:c r="M49" s="18" t="str">
        <x:v>resolved_exact_unofficial</x:v>
      </x:c>
      <x:c r="N49" s="18" t="str">
        <x:v>https://soundcloud.com/user984827580/throw-the-d-2-live-crew</x:v>
      </x:c>
      <x:c r="O49" s="18" t="n">
        <x:v>122531872</x:v>
      </x:c>
      <x:c r="P49" s="18" t="str">
        <x:v>Ronier Dj</x:v>
      </x:c>
      <x:c r="Q49" s="18" t="n">
        <x:v>188333</x:v>
      </x:c>
      <x:c r="R49" s="18" t="str">
        <x:v>open_or_monetized</x:v>
      </x:c>
      <x:c r="S49" s="18" t="str">
        <x:v>User upload matches the original recording; later bootleg remixes were rejected.</x:v>
      </x:c>
      <x:c r="T49" s="18" t="str">
        <x:v>track-048</x:v>
      </x:c>
      <x:c r="U49" s="18" t="str">
        <x:v>Explicit content eligible</x:v>
      </x:c>
    </x:row>
    <x:row r="50">
      <x:c r="A50" s="18" t="n">
        <x:v>49</x:v>
      </x:c>
      <x:c r="B50" s="18" t="str">
        <x:v>HH04</x:v>
      </x:c>
      <x:c r="C50" s="18" t="n">
        <x:v>1987</x:v>
      </x:c>
      <x:c r="D50" s="18" t="str">
        <x:v>MC Lyte</x:v>
      </x:c>
      <x:c r="E50" s="18" t="str">
        <x:v>I Cram to Understand U (Sam)</x:v>
      </x:c>
      <x:c r="F50" s="18" t="str">
        <x:v>original album version</x:v>
      </x:c>
      <x:c r="G50" s="18" t="str">
        <x:v>Brooklyn / New York</x:v>
      </x:c>
      <x:c r="H50" s="18" t="str">
        <x:v>women; narrative; anti-drug</x:v>
      </x:c>
      <x:c r="I50" s="18" t="str">
        <x:v>Narrative control and early woman solo album authority</x:v>
      </x:c>
      <x:c r="J50" s="18" t="str">
        <x:v>selected_main_route</x:v>
      </x:c>
      <x:c r="K50" s="18" t="str">
        <x:v>verified_soundcloud_catalog</x:v>
      </x:c>
      <x:c r="L50" s="18" t="str">
        <x:v>https://soundcloud.com/mclyteofficial/mc-lyte-i-cram-to-understand-u</x:v>
      </x:c>
      <x:c r="M50" s="18" t="str">
        <x:v>resolved_exact</x:v>
      </x:c>
      <x:c r="N50" s="18" t="str">
        <x:v>https://soundcloud.com/mclyteofficial/mc-lyte-i-cram-to-understand-u</x:v>
      </x:c>
      <x:c r="O50" s="18" t="n">
        <x:v>231889978</x:v>
      </x:c>
      <x:c r="P50" s="18" t="str">
        <x:v>MC Lyte</x:v>
      </x:c>
      <x:c r="Q50" s="18" t="n">
        <x:v>284160</x:v>
      </x:c>
      <x:c r="R50" s="18" t="str">
        <x:v>open_or_monetized</x:v>
      </x:c>
      <x:c r="S50" s="18" t="str">
        <x:v>Artist-catalog original version; the 1990 remix was rejected.</x:v>
      </x:c>
      <x:c r="T50" s="18" t="str">
        <x:v>track-049</x:v>
      </x:c>
      <x:c r="U50" s="18" t="str">
        <x:v>Verify 1987 First Priority issue</x:v>
      </x:c>
    </x:row>
    <x:row r="51">
      <x:c r="A51" s="18" t="n">
        <x:v>50</x:v>
      </x:c>
      <x:c r="B51" s="18" t="str">
        <x:v>HH04</x:v>
      </x:c>
      <x:c r="C51" s="18" t="n">
        <x:v>1987</x:v>
      </x:c>
      <x:c r="D51" s="18" t="str">
        <x:v>Salt-N-Pepa</x:v>
      </x:c>
      <x:c r="E51" s="18" t="str">
        <x:v>Push It</x:v>
      </x:c>
      <x:c r="F51" s="18" t="str">
        <x:v>preferred original hit remix to be fixed</x:v>
      </x:c>
      <x:c r="G51" s="18" t="str">
        <x:v>Queens / New York</x:v>
      </x:c>
      <x:c r="H51" s="18" t="str">
        <x:v>women; dance; crossover</x:v>
      </x:c>
      <x:c r="I51" s="18" t="str">
        <x:v>Women-led crossover and dance-floor minimalism</x:v>
      </x:c>
      <x:c r="J51" s="18" t="str">
        <x:v>selected_main_route</x:v>
      </x:c>
      <x:c r="K51" s="18" t="str">
        <x:v>verified_musicbrainz</x:v>
      </x:c>
      <x:c r="L51" s="18" t="str">
        <x:v>https://musicbrainz.org/recording/beb7514d-1906-4813-8ddb-cfc9efa6dff0</x:v>
      </x:c>
      <x:c r="M51" s="18" t="str">
        <x:v>resolved_probable_exact</x:v>
      </x:c>
      <x:c r="N51" s="18" t="str">
        <x:v>https://soundcloud.com/andrei-popa-2/salt-n-pepa-push-it</x:v>
      </x:c>
      <x:c r="O51" s="18" t="n">
        <x:v>36917749</x:v>
      </x:c>
      <x:c r="P51" s="18" t="str">
        <x:v>© Andrei Popa</x:v>
      </x:c>
      <x:c r="Q51" s="18" t="n">
        <x:v>267046</x:v>
      </x:c>
      <x:c r="R51" s="18" t="str">
        <x:v>open_or_monetized</x:v>
      </x:c>
      <x:c r="S51" s="18" t="str">
        <x:v>Duration matches the 1987 hit remix. The current artist-catalog result is a 2026 re-recording and was rejected.</x:v>
      </x:c>
      <x:c r="T51" s="18" t="str">
        <x:v>track-050</x:v>
      </x:c>
      <x:c r="U51" s="18" t="str">
        <x:v>Version is a known trap; resolve remix identity</x:v>
      </x:c>
    </x:row>
    <x:row r="52">
      <x:c r="A52" s="18" t="n">
        <x:v>51</x:v>
      </x:c>
      <x:c r="B52" s="18" t="str">
        <x:v>HH04</x:v>
      </x:c>
      <x:c r="C52" s="18" t="n">
        <x:v>1987</x:v>
      </x:c>
      <x:c r="D52" s="18" t="str">
        <x:v>Public Enemy</x:v>
      </x:c>
      <x:c r="E52" s="18" t="str">
        <x:v>Rebel Without a Pause</x:v>
      </x:c>
      <x:c r="F52" s="18" t="str">
        <x:v>original It Takes a Nation album version</x:v>
      </x:c>
      <x:c r="G52" s="18" t="str">
        <x:v>Long Island / New York</x:v>
      </x:c>
      <x:c r="H52" s="18" t="str">
        <x:v>political; Bomb-Squad; dense-production</x:v>
      </x:c>
      <x:c r="I52" s="18" t="str">
        <x:v>Siren-like density and collective political attack</x:v>
      </x:c>
      <x:c r="J52" s="18" t="str">
        <x:v>selected_main_route</x:v>
      </x:c>
      <x:c r="K52" s="18" t="str">
        <x:v>verified_soundcloud_catalog</x:v>
      </x:c>
      <x:c r="L52" s="18" t="str">
        <x:v>https://soundcloud.com/public-enemy-music/rebel-without-a-pause-2</x:v>
      </x:c>
      <x:c r="M52" s="18" t="str">
        <x:v>resolved_exact</x:v>
      </x:c>
      <x:c r="N52" s="18" t="str">
        <x:v>https://soundcloud.com/public-enemy-music/rebel-without-a-pause-2</x:v>
      </x:c>
      <x:c r="O52" s="18" t="n">
        <x:v>252697848</x:v>
      </x:c>
      <x:c r="P52" s="18" t="str">
        <x:v>Public Enemy</x:v>
      </x:c>
      <x:c r="Q52" s="18" t="n">
        <x:v>266193</x:v>
      </x:c>
      <x:c r="R52" s="18" t="str">
        <x:v>subscriber_catalog</x:v>
      </x:c>
      <x:c r="S52" s="18" t="str">
        <x:v>Structured SoundCloud catalog metadata matches artist, title, and intended unaltered version.</x:v>
      </x:c>
      <x:c r="T52" s="18" t="str">
        <x:v>track-051</x:v>
      </x:c>
      <x:c r="U52" s="18" t="str">
        <x:v>Canonical</x:v>
      </x:c>
    </x:row>
    <x:row r="53">
      <x:c r="A53" s="18" t="n">
        <x:v>52</x:v>
      </x:c>
      <x:c r="B53" s="18" t="str">
        <x:v>HH04</x:v>
      </x:c>
      <x:c r="C53" s="18" t="n">
        <x:v>1987</x:v>
      </x:c>
      <x:c r="D53" s="18" t="str">
        <x:v>EPMD</x:v>
      </x:c>
      <x:c r="E53" s="18" t="str">
        <x:v>It's My Thing</x:v>
      </x:c>
      <x:c r="F53" s="18" t="str">
        <x:v>original 12-inch version</x:v>
      </x:c>
      <x:c r="G53" s="18" t="str">
        <x:v>Long Island / New York</x:v>
      </x:c>
      <x:c r="H53" s="18" t="str">
        <x:v>funk-sampling; duo</x:v>
      </x:c>
      <x:c r="I53" s="18" t="str">
        <x:v>Laid-back duo flow over heavy funk sample logic</x:v>
      </x:c>
      <x:c r="J53" s="18" t="str">
        <x:v>selected_main_route</x:v>
      </x:c>
      <x:c r="K53" s="18" t="str">
        <x:v>verified_soundcloud_catalog</x:v>
      </x:c>
      <x:c r="L53" s="18" t="str">
        <x:v>https://soundcloud.com/epmd-official/its-my-thing</x:v>
      </x:c>
      <x:c r="M53" s="18" t="str">
        <x:v>resolved_exact</x:v>
      </x:c>
      <x:c r="N53" s="18" t="str">
        <x:v>https://soundcloud.com/epmd-official/its-my-thing</x:v>
      </x:c>
      <x:c r="O53" s="18" t="n">
        <x:v>259045192</x:v>
      </x:c>
      <x:c r="P53" s="18" t="str">
        <x:v>EPMD</x:v>
      </x:c>
      <x:c r="Q53" s="18" t="n">
        <x:v>342387</x:v>
      </x:c>
      <x:c r="R53" s="18" t="str">
        <x:v>subscriber_catalog</x:v>
      </x:c>
      <x:c r="S53" s="18" t="str">
        <x:v>Structured SoundCloud catalog metadata matches artist, title, and intended unaltered version.</x:v>
      </x:c>
      <x:c r="T53" s="18" t="str">
        <x:v>track-052</x:v>
      </x:c>
      <x:c r="U53" s="18" t="str">
        <x:v>Verify Sleeping Bag issue</x:v>
      </x:c>
    </x:row>
    <x:row r="54">
      <x:c r="A54" s="18" t="n">
        <x:v>53</x:v>
      </x:c>
      <x:c r="B54" s="18" t="str">
        <x:v>HH04</x:v>
      </x:c>
      <x:c r="C54" s="18" t="n">
        <x:v>1987</x:v>
      </x:c>
      <x:c r="D54" s="18" t="str">
        <x:v>Audio Two</x:v>
      </x:c>
      <x:c r="E54" s="18" t="str">
        <x:v>Top Billin'</x:v>
      </x:c>
      <x:c r="F54" s="18" t="str">
        <x:v>original 12-inch version</x:v>
      </x:c>
      <x:c r="G54" s="18" t="str">
        <x:v>Brooklyn / New York</x:v>
      </x:c>
      <x:c r="H54" s="18" t="str">
        <x:v>minimalism; break; sample</x:v>
      </x:c>
      <x:c r="I54" s="18" t="str">
        <x:v>Radical rhythmic economy and long sample afterlife</x:v>
      </x:c>
      <x:c r="J54" s="18" t="str">
        <x:v>selected_main_route</x:v>
      </x:c>
      <x:c r="K54" s="18" t="str">
        <x:v>verified_musicbrainz</x:v>
      </x:c>
      <x:c r="L54" s="18" t="str">
        <x:v>https://musicbrainz.org/recording/16088134-7107-4456-a584-660c07da4306</x:v>
      </x:c>
      <x:c r="M54" s="18" t="str">
        <x:v>resolved_exact</x:v>
      </x:c>
      <x:c r="N54" s="18" t="str">
        <x:v>https://soundcloud.com/audio-two-official/top-billin</x:v>
      </x:c>
      <x:c r="O54" s="18" t="n">
        <x:v>254485498</x:v>
      </x:c>
      <x:c r="P54" s="18" t="str">
        <x:v>Audio Two</x:v>
      </x:c>
      <x:c r="Q54" s="18" t="n">
        <x:v>175793</x:v>
      </x:c>
      <x:c r="R54" s="18" t="str">
        <x:v>subscriber_catalog</x:v>
      </x:c>
      <x:c r="S54" s="18" t="str">
        <x:v>Structured SoundCloud catalog metadata matches artist, title, and intended unaltered version.</x:v>
      </x:c>
      <x:c r="T54" s="18" t="str">
        <x:v>track-053</x:v>
      </x:c>
      <x:c r="U54" s="18" t="str">
        <x:v>Canonical production exhibit</x:v>
      </x:c>
    </x:row>
    <x:row r="55">
      <x:c r="A55" s="18" t="n">
        <x:v>54</x:v>
      </x:c>
      <x:c r="B55" s="18" t="str">
        <x:v>HH04</x:v>
      </x:c>
      <x:c r="C55" s="18" t="n">
        <x:v>1984</x:v>
      </x:c>
      <x:c r="D55" s="18" t="str">
        <x:v>Dee Nasty</x:v>
      </x:c>
      <x:c r="E55" s="18" t="str">
        <x:v>Paname City Rappin'</x:v>
      </x:c>
      <x:c r="F55" s="18" t="str">
        <x:v>original album version</x:v>
      </x:c>
      <x:c r="G55" s="18" t="str">
        <x:v>France</x:v>
      </x:c>
      <x:c r="H55" s="18" t="str">
        <x:v>French-rap; DJ; global</x:v>
      </x:c>
      <x:c r="I55" s="18" t="str">
        <x:v>Early French recorded rap and DJ culture</x:v>
      </x:c>
      <x:c r="J55" s="18" t="str">
        <x:v>selected_main_route</x:v>
      </x:c>
      <x:c r="K55" s="18" t="str">
        <x:v>verified_musicbrainz</x:v>
      </x:c>
      <x:c r="L55" s="18" t="str">
        <x:v>https://musicbrainz.org/recording/da975656-7287-458e-b5bc-d02eb27d0452</x:v>
      </x:c>
      <x:c r="M55" s="18" t="str">
        <x:v>resolved_exact</x:v>
      </x:c>
      <x:c r="N55" s="18" t="str">
        <x:v>https://soundcloud.com/deenastyofficial/panam-city-rappin</x:v>
      </x:c>
      <x:c r="O55" s="18" t="n">
        <x:v>1356568837</x:v>
      </x:c>
      <x:c r="P55" s="18" t="str">
        <x:v>Dee Nasty</x:v>
      </x:c>
      <x:c r="Q55" s="18" t="n">
        <x:v>316709</x:v>
      </x:c>
      <x:c r="R55" s="18" t="str">
        <x:v>subscriber_catalog</x:v>
      </x:c>
      <x:c r="S55" s="18" t="str">
        <x:v>Artist-catalog recording; the catalog spelling is Panam City Rappin'.</x:v>
      </x:c>
      <x:c r="T55" s="18" t="str">
        <x:v>track-054</x:v>
      </x:c>
      <x:c r="U55" s="18" t="str">
        <x:v>Institutionally documented pioneer; exact track/mix verify</x:v>
      </x:c>
    </x:row>
    <x:row r="56">
      <x:c r="A56" s="18" t="n">
        <x:v>55</x:v>
      </x:c>
      <x:c r="B56" s="18" t="str">
        <x:v>HH04</x:v>
      </x:c>
      <x:c r="C56" s="18" t="n">
        <x:v>1987</x:v>
      </x:c>
      <x:c r="D56" s="18" t="str">
        <x:v>Lionel D</x:v>
      </x:c>
      <x:c r="E56" s="18" t="str">
        <x:v>Y'a pas de problème</x:v>
      </x:c>
      <x:c r="F56" s="18" t="str">
        <x:v>original version</x:v>
      </x:c>
      <x:c r="G56" s="18" t="str">
        <x:v>France</x:v>
      </x:c>
      <x:c r="H56" s="18" t="str">
        <x:v>French-rap; radio; live-MC</x:v>
      </x:c>
      <x:c r="I56" s="18" t="str">
        <x:v>French radio and MC infrastructure</x:v>
      </x:c>
      <x:c r="J56" s="18" t="str">
        <x:v>selected_main_route</x:v>
      </x:c>
      <x:c r="K56" s="18" t="str">
        <x:v>verified_soundcloud_catalog</x:v>
      </x:c>
      <x:c r="L56" s="18" t="str">
        <x:v>https://soundcloud.com/lioneld-music/ya-pas-de-probleme</x:v>
      </x:c>
      <x:c r="M56" s="18" t="str">
        <x:v>resolved_exact</x:v>
      </x:c>
      <x:c r="N56" s="18" t="str">
        <x:v>https://soundcloud.com/lioneld-music/ya-pas-de-probleme</x:v>
      </x:c>
      <x:c r="O56" s="18" t="n">
        <x:v>718427179</x:v>
      </x:c>
      <x:c r="P56" s="18" t="str">
        <x:v>Lionel D</x:v>
      </x:c>
      <x:c r="Q56" s="18" t="n">
        <x:v>266684</x:v>
      </x:c>
      <x:c r="R56" s="18" t="str">
        <x:v>subscriber_catalog</x:v>
      </x:c>
      <x:c r="S56" s="18" t="str">
        <x:v>Structured SoundCloud catalog metadata matches artist, title, and intended unaltered version.</x:v>
      </x:c>
      <x:c r="T56" s="18" t="str">
        <x:v>track-055</x:v>
      </x:c>
      <x:c r="U56" s="18" t="str">
        <x:v>Metadata verification required</x:v>
      </x:c>
    </x:row>
    <x:row r="57">
      <x:c r="A57" s="18" t="n">
        <x:v>56</x:v>
      </x:c>
      <x:c r="B57" s="18" t="str">
        <x:v>HH04</x:v>
      </x:c>
      <x:c r="C57" s="18" t="n">
        <x:v>1988</x:v>
      </x:c>
      <x:c r="D57" s="18" t="str">
        <x:v>Hijack</x:v>
      </x:c>
      <x:c r="E57" s="18" t="str">
        <x:v>Style Wars</x:v>
      </x:c>
      <x:c r="F57" s="18" t="str">
        <x:v>original 12-inch version</x:v>
      </x:c>
      <x:c r="G57" s="18" t="str">
        <x:v>United Kingdom</x:v>
      </x:c>
      <x:c r="H57" s="18" t="str">
        <x:v>UK-hardcore-rap; battle</x:v>
      </x:c>
      <x:c r="I57" s="18" t="str">
        <x:v>British hard-edged rap before later UK genre branches</x:v>
      </x:c>
      <x:c r="J57" s="18" t="str">
        <x:v>selected_main_route</x:v>
      </x:c>
      <x:c r="K57" s="18" t="str">
        <x:v>metadata_source_incomplete</x:v>
      </x:c>
      <x:c r="L57" s="18" t="str">
        <x:v>https://musicbrainz.org/recording/ed0046cd-fe0f-4dfc-9da1-9ea66f871089</x:v>
      </x:c>
      <x:c r="M57" s="18" t="str">
        <x:v>unavailable_exact</x:v>
      </x:c>
      <x:c r="N57" s="18" t="str"/>
      <x:c r="O57" s="18" t="str"/>
      <x:c r="P57" s="18" t="str"/>
      <x:c r="Q57" s="18" t="str"/>
      <x:c r="R57" s="18" t="str"/>
      <x:c r="S57" s="18" t="str">
        <x:v>Only later chillwave mixes and unrelated same-title recordings were found.</x:v>
      </x:c>
      <x:c r="T57" s="18" t="str">
        <x:v>track-056</x:v>
      </x:c>
      <x:c r="U57" s="18" t="str">
        <x:v>Verify 1988 Music of Life issue</x:v>
      </x:c>
    </x:row>
    <x:row r="58">
      <x:c r="A58" s="18" t="n">
        <x:v>57</x:v>
      </x:c>
      <x:c r="B58" s="18" t="str">
        <x:v>HH05</x:v>
      </x:c>
      <x:c r="C58" s="18" t="n">
        <x:v>1989</x:v>
      </x:c>
      <x:c r="D58" s="18" t="str">
        <x:v>Public Enemy</x:v>
      </x:c>
      <x:c r="E58" s="18" t="str">
        <x:v>Fight the Power</x:v>
      </x:c>
      <x:c r="F58" s="18" t="str">
        <x:v>original Do the Right Thing soundtrack version</x:v>
      </x:c>
      <x:c r="G58" s="18" t="str">
        <x:v>New York</x:v>
      </x:c>
      <x:c r="H58" s="18" t="str">
        <x:v>political; dense-production; soundtrack</x:v>
      </x:c>
      <x:c r="I58" s="18" t="str">
        <x:v>Collective political address and cinematic public sphere</x:v>
      </x:c>
      <x:c r="J58" s="18" t="str">
        <x:v>selected_main_route</x:v>
      </x:c>
      <x:c r="K58" s="18" t="str">
        <x:v>verified_soundcloud_catalog</x:v>
      </x:c>
      <x:c r="L58" s="18" t="str">
        <x:v>https://soundcloud.com/public-enemy-music/fight-the-power-do-the-right</x:v>
      </x:c>
      <x:c r="M58" s="18" t="str">
        <x:v>resolved_exact</x:v>
      </x:c>
      <x:c r="N58" s="18" t="str">
        <x:v>https://soundcloud.com/public-enemy-music/fight-the-power-do-the-right</x:v>
      </x:c>
      <x:c r="O58" s="18" t="n">
        <x:v>252697243</x:v>
      </x:c>
      <x:c r="P58" s="18" t="str">
        <x:v>Public Enemy</x:v>
      </x:c>
      <x:c r="Q58" s="18" t="n">
        <x:v>323500</x:v>
      </x:c>
      <x:c r="R58" s="18" t="str">
        <x:v>subscriber_catalog</x:v>
      </x:c>
      <x:c r="S58" s="18" t="str">
        <x:v>Artist-catalog entry explicitly identifies the Do the Right Thing soundtrack recording.</x:v>
      </x:c>
      <x:c r="T58" s="18" t="str">
        <x:v>track-057</x:v>
      </x:c>
      <x:c r="U58" s="18" t="str">
        <x:v>Tom-likely recognition; distinguish album remix</x:v>
      </x:c>
    </x:row>
    <x:row r="59">
      <x:c r="A59" s="18" t="n">
        <x:v>58</x:v>
      </x:c>
      <x:c r="B59" s="18" t="str">
        <x:v>HH05</x:v>
      </x:c>
      <x:c r="C59" s="18" t="n">
        <x:v>1989</x:v>
      </x:c>
      <x:c r="D59" s="18" t="str">
        <x:v>Boogie Down Productions</x:v>
      </x:c>
      <x:c r="E59" s="18" t="str">
        <x:v>You Must Learn</x:v>
      </x:c>
      <x:c r="F59" s="18" t="str">
        <x:v>original Ghetto Music album version</x:v>
      </x:c>
      <x:c r="G59" s="18" t="str">
        <x:v>New York</x:v>
      </x:c>
      <x:c r="H59" s="18" t="str">
        <x:v>pedagogy; history; political</x:v>
      </x:c>
      <x:c r="I59" s="18" t="str">
        <x:v>Historical pedagogy inside rap</x:v>
      </x:c>
      <x:c r="J59" s="18" t="str">
        <x:v>selected_main_route</x:v>
      </x:c>
      <x:c r="K59" s="18" t="str">
        <x:v>verified_musicbrainz</x:v>
      </x:c>
      <x:c r="L59" s="18" t="str">
        <x:v>https://musicbrainz.org/recording/c2832bbb-2b4e-4573-86b8-8db39c17fa3b</x:v>
      </x:c>
      <x:c r="M59" s="18" t="str">
        <x:v>resolved_exact</x:v>
      </x:c>
      <x:c r="N59" s="18" t="str">
        <x:v>https://soundcloud.com/boogie-down-productions/you-must-learn-lp-version</x:v>
      </x:c>
      <x:c r="O59" s="18" t="n">
        <x:v>253202871</x:v>
      </x:c>
      <x:c r="P59" s="18" t="str">
        <x:v>Boogie Down Productions</x:v>
      </x:c>
      <x:c r="Q59" s="18" t="n">
        <x:v>232015</x:v>
      </x:c>
      <x:c r="R59" s="18" t="str">
        <x:v>subscriber_catalog</x:v>
      </x:c>
      <x:c r="S59" s="18" t="str">
        <x:v>Structured SoundCloud catalog metadata matches artist, title, and intended unaltered version.</x:v>
      </x:c>
      <x:c r="T59" s="18" t="str">
        <x:v>track-058</x:v>
      </x:c>
      <x:c r="U59" s="18" t="str">
        <x:v>Recognition prompt</x:v>
      </x:c>
    </x:row>
    <x:row r="60">
      <x:c r="A60" s="18" t="n">
        <x:v>59</x:v>
      </x:c>
      <x:c r="B60" s="18" t="str">
        <x:v>HH05</x:v>
      </x:c>
      <x:c r="C60" s="18" t="n">
        <x:v>1989</x:v>
      </x:c>
      <x:c r="D60" s="18" t="str">
        <x:v>Queen Latifah featuring Monie Love</x:v>
      </x:c>
      <x:c r="E60" s="18" t="str">
        <x:v>Ladies First</x:v>
      </x:c>
      <x:c r="F60" s="18" t="str">
        <x:v>original album version</x:v>
      </x:c>
      <x:c r="G60" s="18" t="str">
        <x:v>New Jersey / United Kingdom</x:v>
      </x:c>
      <x:c r="H60" s="18" t="str">
        <x:v>women; Black-feminist; transatlantic</x:v>
      </x:c>
      <x:c r="I60" s="18" t="str">
        <x:v>Black feminist authority and transatlantic collaboration</x:v>
      </x:c>
      <x:c r="J60" s="18" t="str">
        <x:v>selected_main_route</x:v>
      </x:c>
      <x:c r="K60" s="18" t="str">
        <x:v>verified_musicbrainz</x:v>
      </x:c>
      <x:c r="L60" s="18" t="str">
        <x:v>https://musicbrainz.org/recording/52e9d95d-a41e-4a28-b5b3-a60f6b682757</x:v>
      </x:c>
      <x:c r="M60" s="18" t="str">
        <x:v>resolved_exact</x:v>
      </x:c>
      <x:c r="N60" s="18" t="str">
        <x:v>https://soundcloud.com/queenlatifahofficial/ladies-first</x:v>
      </x:c>
      <x:c r="O60" s="18" t="n">
        <x:v>255982406</x:v>
      </x:c>
      <x:c r="P60" s="18" t="str">
        <x:v>Queen Latifah</x:v>
      </x:c>
      <x:c r="Q60" s="18" t="n">
        <x:v>238733</x:v>
      </x:c>
      <x:c r="R60" s="18" t="str">
        <x:v>open_or_monetized</x:v>
      </x:c>
      <x:c r="S60" s="18" t="str">
        <x:v>Artist-catalog LP version; bonus beats and radio edits were rejected.</x:v>
      </x:c>
      <x:c r="T60" s="18" t="str">
        <x:v>track-059</x:v>
      </x:c>
      <x:c r="U60" s="18" t="str">
        <x:v>Recognition prompt</x:v>
      </x:c>
    </x:row>
    <x:row r="61">
      <x:c r="A61" s="18" t="n">
        <x:v>60</x:v>
      </x:c>
      <x:c r="B61" s="18" t="str">
        <x:v>HH05</x:v>
      </x:c>
      <x:c r="C61" s="18" t="n">
        <x:v>1989</x:v>
      </x:c>
      <x:c r="D61" s="18" t="str">
        <x:v>De La Soul</x:v>
      </x:c>
      <x:c r="E61" s="18" t="str">
        <x:v>Me Myself and I</x:v>
      </x:c>
      <x:c r="F61" s="18" t="str">
        <x:v>original album version</x:v>
      </x:c>
      <x:c r="G61" s="18" t="str">
        <x:v>Long Island / New York</x:v>
      </x:c>
      <x:c r="H61" s="18" t="str">
        <x:v>Native-Tongues; sampling; alternative</x:v>
      </x:c>
      <x:c r="I61" s="18" t="str">
        <x:v>Playful resistance to imposed image</x:v>
      </x:c>
      <x:c r="J61" s="18" t="str">
        <x:v>selected_main_route</x:v>
      </x:c>
      <x:c r="K61" s="18" t="str">
        <x:v>verified_soundcloud_catalog</x:v>
      </x:c>
      <x:c r="L61" s="18" t="str">
        <x:v>https://soundcloud.com/wearedelasoul/me-myself-and-i-1</x:v>
      </x:c>
      <x:c r="M61" s="18" t="str">
        <x:v>resolved_exact</x:v>
      </x:c>
      <x:c r="N61" s="18" t="str">
        <x:v>https://soundcloud.com/wearedelasoul/me-myself-and-i-1</x:v>
      </x:c>
      <x:c r="O61" s="18" t="n">
        <x:v>1395098347</x:v>
      </x:c>
      <x:c r="P61" s="18" t="str">
        <x:v>De La Soul</x:v>
      </x:c>
      <x:c r="Q61" s="18" t="n">
        <x:v>229381</x:v>
      </x:c>
      <x:c r="R61" s="18" t="str">
        <x:v>open_or_monetized</x:v>
      </x:c>
      <x:c r="S61" s="18" t="str">
        <x:v>Structured SoundCloud catalog metadata matches artist, title, and intended unaltered version.</x:v>
      </x:c>
      <x:c r="T61" s="18" t="str">
        <x:v>track-060</x:v>
      </x:c>
      <x:c r="U61" s="18" t="str">
        <x:v>Canonical and potentially cliched</x:v>
      </x:c>
    </x:row>
    <x:row r="62">
      <x:c r="A62" s="18" t="n">
        <x:v>61</x:v>
      </x:c>
      <x:c r="B62" s="18" t="str">
        <x:v>HH05</x:v>
      </x:c>
      <x:c r="C62" s="18" t="n">
        <x:v>1988</x:v>
      </x:c>
      <x:c r="D62" s="18" t="str">
        <x:v>Jungle Brothers</x:v>
      </x:c>
      <x:c r="E62" s="18" t="str">
        <x:v>Straight Out the Jungle</x:v>
      </x:c>
      <x:c r="F62" s="18" t="str">
        <x:v>original album version</x:v>
      </x:c>
      <x:c r="G62" s="18" t="str">
        <x:v>New York</x:v>
      </x:c>
      <x:c r="H62" s="18" t="str">
        <x:v>Native-Tongues; Afrocentric; house-exchange</x:v>
      </x:c>
      <x:c r="I62" s="18" t="str">
        <x:v>Plural Black musical affiliations and scene formation</x:v>
      </x:c>
      <x:c r="J62" s="18" t="str">
        <x:v>selected_main_route</x:v>
      </x:c>
      <x:c r="K62" s="18" t="str">
        <x:v>verified_musicbrainz</x:v>
      </x:c>
      <x:c r="L62" s="18" t="str">
        <x:v>https://musicbrainz.org/recording/2a629d3d-3447-4c84-8c5e-8eb924675c65</x:v>
      </x:c>
      <x:c r="M62" s="18" t="str">
        <x:v>resolved_exact</x:v>
      </x:c>
      <x:c r="N62" s="18" t="str">
        <x:v>https://soundcloud.com/jungle-brothers/straight-out-the-jungle-1</x:v>
      </x:c>
      <x:c r="O62" s="18" t="n">
        <x:v>630825705</x:v>
      </x:c>
      <x:c r="P62" s="18" t="str">
        <x:v>JUNGLE BROTHERS</x:v>
      </x:c>
      <x:c r="Q62" s="18" t="n">
        <x:v>239569</x:v>
      </x:c>
      <x:c r="R62" s="18" t="str">
        <x:v>subscriber_catalog</x:v>
      </x:c>
      <x:c r="S62" s="18" t="str">
        <x:v>Structured SoundCloud catalog metadata matches artist, title, and intended unaltered version.</x:v>
      </x:c>
      <x:c r="T62" s="18" t="str">
        <x:v>track-061</x:v>
      </x:c>
      <x:c r="U62" s="18" t="str">
        <x:v>Verify original mix</x:v>
      </x:c>
    </x:row>
    <x:row r="63">
      <x:c r="A63" s="18" t="n">
        <x:v>62</x:v>
      </x:c>
      <x:c r="B63" s="18" t="str">
        <x:v>HH05</x:v>
      </x:c>
      <x:c r="C63" s="18" t="n">
        <x:v>1990</x:v>
      </x:c>
      <x:c r="D63" s="18" t="str">
        <x:v>A Tribe Called Quest</x:v>
      </x:c>
      <x:c r="E63" s="18" t="str">
        <x:v>Can I Kick It?</x:v>
      </x:c>
      <x:c r="F63" s="18" t="str">
        <x:v>original album version</x:v>
      </x:c>
      <x:c r="G63" s="18" t="str">
        <x:v>Queens / New York</x:v>
      </x:c>
      <x:c r="H63" s="18" t="str">
        <x:v>jazz-rap; Native-Tongues; call-response</x:v>
      </x:c>
      <x:c r="I63" s="18" t="str">
        <x:v>Conversational crew feel and jazz-rock sample repurposing</x:v>
      </x:c>
      <x:c r="J63" s="18" t="str">
        <x:v>selected_main_route</x:v>
      </x:c>
      <x:c r="K63" s="18" t="str">
        <x:v>verified_musicbrainz</x:v>
      </x:c>
      <x:c r="L63" s="18" t="str">
        <x:v>https://musicbrainz.org/recording/735c7120-b098-47c1-99af-2f132a876b9c</x:v>
      </x:c>
      <x:c r="M63" s="18" t="str">
        <x:v>resolved_exact</x:v>
      </x:c>
      <x:c r="N63" s="18" t="str">
        <x:v>https://soundcloud.com/a-tribe-called-quest-official/can-i-kick-it-album-version</x:v>
      </x:c>
      <x:c r="O63" s="18" t="n">
        <x:v>253510291</x:v>
      </x:c>
      <x:c r="P63" s="18" t="str">
        <x:v>A Tribe Called Quest</x:v>
      </x:c>
      <x:c r="Q63" s="18" t="n">
        <x:v>210521</x:v>
      </x:c>
      <x:c r="R63" s="18" t="str">
        <x:v>subscriber_catalog</x:v>
      </x:c>
      <x:c r="S63" s="18" t="str">
        <x:v>Artist-catalog album version; longer compilation and extended-mix entries were rejected.</x:v>
      </x:c>
      <x:c r="T63" s="18" t="str">
        <x:v>track-062</x:v>
      </x:c>
      <x:c r="U63" s="18" t="str">
        <x:v>Canonical</x:v>
      </x:c>
    </x:row>
    <x:row r="64">
      <x:c r="A64" s="18" t="n">
        <x:v>63</x:v>
      </x:c>
      <x:c r="B64" s="18" t="str">
        <x:v>HH05</x:v>
      </x:c>
      <x:c r="C64" s="18" t="n">
        <x:v>1988</x:v>
      </x:c>
      <x:c r="D64" s="18" t="str">
        <x:v>Eric B. &amp; Rakim</x:v>
      </x:c>
      <x:c r="E64" s="18" t="str">
        <x:v>Follow the Leader</x:v>
      </x:c>
      <x:c r="F64" s="18" t="str">
        <x:v>original album version</x:v>
      </x:c>
      <x:c r="G64" s="18" t="str">
        <x:v>New York</x:v>
      </x:c>
      <x:c r="H64" s="18" t="str">
        <x:v>flow; lyrical-formalism</x:v>
      </x:c>
      <x:c r="I64" s="18" t="str">
        <x:v>Extended flow control over ominous production</x:v>
      </x:c>
      <x:c r="J64" s="18" t="str">
        <x:v>selected_main_route</x:v>
      </x:c>
      <x:c r="K64" s="18" t="str">
        <x:v>verified_musicbrainz</x:v>
      </x:c>
      <x:c r="L64" s="18" t="str">
        <x:v>https://musicbrainz.org/recording/e4ea3b2d-b917-453e-bea0-0f66e15a88f9</x:v>
      </x:c>
      <x:c r="M64" s="18" t="str">
        <x:v>resolved_exact</x:v>
      </x:c>
      <x:c r="N64" s="18" t="str">
        <x:v>https://soundcloud.com/eric-b-and-rakim/follow-the-leader</x:v>
      </x:c>
      <x:c r="O64" s="18" t="n">
        <x:v>253544915</x:v>
      </x:c>
      <x:c r="P64" s="18" t="str">
        <x:v>Eric B. &amp; Rakim</x:v>
      </x:c>
      <x:c r="Q64" s="18" t="n">
        <x:v>336901</x:v>
      </x:c>
      <x:c r="R64" s="18" t="str">
        <x:v>subscriber_catalog</x:v>
      </x:c>
      <x:c r="S64" s="18" t="str">
        <x:v>Structured SoundCloud catalog metadata matches artist, title, and intended unaltered version.</x:v>
      </x:c>
      <x:c r="T64" s="18" t="str">
        <x:v>track-063</x:v>
      </x:c>
      <x:c r="U64" s="18" t="str">
        <x:v>Canonical</x:v>
      </x:c>
    </x:row>
    <x:row r="65">
      <x:c r="A65" s="18" t="n">
        <x:v>64</x:v>
      </x:c>
      <x:c r="B65" s="18" t="str">
        <x:v>HH05</x:v>
      </x:c>
      <x:c r="C65" s="18" t="n">
        <x:v>1988</x:v>
      </x:c>
      <x:c r="D65" s="18" t="str">
        <x:v>Big Daddy Kane</x:v>
      </x:c>
      <x:c r="E65" s="18" t="str">
        <x:v>Ain't No Half-Steppin'</x:v>
      </x:c>
      <x:c r="F65" s="18" t="str">
        <x:v>original album version</x:v>
      </x:c>
      <x:c r="G65" s="18" t="str">
        <x:v>Brooklyn / New York</x:v>
      </x:c>
      <x:c r="H65" s="18" t="str">
        <x:v>battle; virtuosity</x:v>
      </x:c>
      <x:c r="I65" s="18" t="str">
        <x:v>Polished rhythmic virtuosity and command</x:v>
      </x:c>
      <x:c r="J65" s="18" t="str">
        <x:v>selected_main_route</x:v>
      </x:c>
      <x:c r="K65" s="18" t="str">
        <x:v>verified_soundcloud_catalog</x:v>
      </x:c>
      <x:c r="L65" s="18" t="str">
        <x:v>https://soundcloud.com/bigdaddykaneofficial/big-daddy-kane-aint-no-half</x:v>
      </x:c>
      <x:c r="M65" s="18" t="str">
        <x:v>resolved_exact</x:v>
      </x:c>
      <x:c r="N65" s="18" t="str">
        <x:v>https://soundcloud.com/bigdaddykaneofficial/big-daddy-kane-aint-no-half</x:v>
      </x:c>
      <x:c r="O65" s="18" t="n">
        <x:v>231713032</x:v>
      </x:c>
      <x:c r="P65" s="18" t="str">
        <x:v>Big Daddy Kane</x:v>
      </x:c>
      <x:c r="Q65" s="18" t="n">
        <x:v>319948</x:v>
      </x:c>
      <x:c r="R65" s="18" t="str">
        <x:v>open_or_monetized</x:v>
      </x:c>
      <x:c r="S65" s="18" t="str">
        <x:v>Structured SoundCloud catalog metadata matches artist, title, and intended unaltered version.</x:v>
      </x:c>
      <x:c r="T65" s="18" t="str">
        <x:v>track-064</x:v>
      </x:c>
      <x:c r="U65" s="18" t="str">
        <x:v>Canonical</x:v>
      </x:c>
    </x:row>
    <x:row r="66">
      <x:c r="A66" s="18" t="n">
        <x:v>65</x:v>
      </x:c>
      <x:c r="B66" s="18" t="str">
        <x:v>HH05</x:v>
      </x:c>
      <x:c r="C66" s="18" t="n">
        <x:v>1990</x:v>
      </x:c>
      <x:c r="D66" s="18" t="str">
        <x:v>Kool G Rap &amp; DJ Polo</x:v>
      </x:c>
      <x:c r="E66" s="18" t="str">
        <x:v>Streets of New York</x:v>
      </x:c>
      <x:c r="F66" s="18" t="str">
        <x:v>original album version</x:v>
      </x:c>
      <x:c r="G66" s="18" t="str">
        <x:v>Queens / New York</x:v>
      </x:c>
      <x:c r="H66" s="18" t="str">
        <x:v>street-reportage; narrative</x:v>
      </x:c>
      <x:c r="I66" s="18" t="str">
        <x:v>Dense street reportage before mafioso formalization</x:v>
      </x:c>
      <x:c r="J66" s="18" t="str">
        <x:v>selected_main_route</x:v>
      </x:c>
      <x:c r="K66" s="18" t="str">
        <x:v>verified_musicbrainz</x:v>
      </x:c>
      <x:c r="L66" s="18" t="str">
        <x:v>https://musicbrainz.org/recording/3f924981-ecea-46d7-b3d8-83d3c7245219</x:v>
      </x:c>
      <x:c r="M66" s="18" t="str">
        <x:v>resolved_probable_exact</x:v>
      </x:c>
      <x:c r="N66" s="18" t="str">
        <x:v>https://soundcloud.com/mike-jones-164/kool-g-rap-streets-of-new-york</x:v>
      </x:c>
      <x:c r="O66" s="18" t="n">
        <x:v>415471728</x:v>
      </x:c>
      <x:c r="P66" s="18" t="str">
        <x:v>Mike Jones 1013</x:v>
      </x:c>
      <x:c r="Q66" s="18" t="n">
        <x:v>260308</x:v>
      </x:c>
      <x:c r="R66" s="18" t="str">
        <x:v>open_or_monetized</x:v>
      </x:c>
      <x:c r="S66" s="18" t="str">
        <x:v>Publisher metadata and duration match the album recording; uploader is not artist-controlled.</x:v>
      </x:c>
      <x:c r="T66" s="18" t="str">
        <x:v>track-065</x:v>
      </x:c>
      <x:c r="U66" s="18" t="str">
        <x:v>Verify album version</x:v>
      </x:c>
    </x:row>
    <x:row r="67">
      <x:c r="A67" s="18" t="n">
        <x:v>66</x:v>
      </x:c>
      <x:c r="B67" s="18" t="str">
        <x:v>HH05</x:v>
      </x:c>
      <x:c r="C67" s="18" t="n">
        <x:v>1988</x:v>
      </x:c>
      <x:c r="D67" s="18" t="str">
        <x:v>N.W.A</x:v>
      </x:c>
      <x:c r="E67" s="18" t="str">
        <x:v>Straight Outta Compton</x:v>
      </x:c>
      <x:c r="F67" s="18" t="str">
        <x:v>original album version</x:v>
      </x:c>
      <x:c r="G67" s="18" t="str">
        <x:v>Compton / California</x:v>
      </x:c>
      <x:c r="H67" s="18" t="str">
        <x:v>gangsta; regional-system; political</x:v>
      </x:c>
      <x:c r="I67" s="18" t="str">
        <x:v>Regional force social report and market shock</x:v>
      </x:c>
      <x:c r="J67" s="18" t="str">
        <x:v>selected_main_route</x:v>
      </x:c>
      <x:c r="K67" s="18" t="str">
        <x:v>verified_musicbrainz</x:v>
      </x:c>
      <x:c r="L67" s="18" t="str">
        <x:v>https://musicbrainz.org/recording/62f24090-70fa-4846-bcbf-83319021643c</x:v>
      </x:c>
      <x:c r="M67" s="18" t="str">
        <x:v>resolved_exact</x:v>
      </x:c>
      <x:c r="N67" s="18" t="str">
        <x:v>https://soundcloud.com/nwaofficial/straight-outta-compton-3</x:v>
      </x:c>
      <x:c r="O67" s="18" t="n">
        <x:v>274443895</x:v>
      </x:c>
      <x:c r="P67" s="18" t="str">
        <x:v>N.W.A</x:v>
      </x:c>
      <x:c r="Q67" s="18" t="n">
        <x:v>257489</x:v>
      </x:c>
      <x:c r="R67" s="18" t="str">
        <x:v>subscriber_catalog</x:v>
      </x:c>
      <x:c r="S67" s="18" t="str">
        <x:v>Structured SoundCloud catalog metadata matches artist, title, and intended unaltered version.</x:v>
      </x:c>
      <x:c r="T67" s="18" t="str">
        <x:v>track-066</x:v>
      </x:c>
      <x:c r="U67" s="18" t="str">
        <x:v>Contextualize misogyny and media construction</x:v>
      </x:c>
    </x:row>
    <x:row r="68">
      <x:c r="A68" s="18" t="n">
        <x:v>67</x:v>
      </x:c>
      <x:c r="B68" s="18" t="str">
        <x:v>HH05</x:v>
      </x:c>
      <x:c r="C68" s="18" t="n">
        <x:v>1988</x:v>
      </x:c>
      <x:c r="D68" s="18" t="str">
        <x:v>Ice-T</x:v>
      </x:c>
      <x:c r="E68" s="18" t="str">
        <x:v>Colors</x:v>
      </x:c>
      <x:c r="F68" s="18" t="str">
        <x:v>original soundtrack version</x:v>
      </x:c>
      <x:c r="G68" s="18" t="str">
        <x:v>Los Angeles</x:v>
      </x:c>
      <x:c r="H68" s="18" t="str">
        <x:v>gangsta; narrative; soundtrack</x:v>
      </x:c>
      <x:c r="I68" s="18" t="str">
        <x:v>Gang identity narrative and film circulation</x:v>
      </x:c>
      <x:c r="J68" s="18" t="str">
        <x:v>selected_main_route</x:v>
      </x:c>
      <x:c r="K68" s="18" t="str">
        <x:v>verified_musicbrainz</x:v>
      </x:c>
      <x:c r="L68" s="18" t="str">
        <x:v>https://musicbrainz.org/recording/dca66e34-83d8-4549-b403-33fff3840c45</x:v>
      </x:c>
      <x:c r="M68" s="18" t="str">
        <x:v>unavailable_exact</x:v>
      </x:c>
      <x:c r="N68" s="18" t="str"/>
      <x:c r="O68" s="18" t="str"/>
      <x:c r="P68" s="18" t="str"/>
      <x:c r="Q68" s="18" t="str"/>
      <x:c r="R68" s="18" t="str"/>
      <x:c r="S68" s="18" t="str">
        <x:v>The artist-catalog entry is explicitly a 2014 remaster and user results were uncertain; the original soundtrack master remains guide-only.</x:v>
      </x:c>
      <x:c r="T68" s="18" t="str">
        <x:v>track-067</x:v>
      </x:c>
      <x:c r="U68" s="18" t="str">
        <x:v>Exact soundtrack/single version verify</x:v>
      </x:c>
    </x:row>
    <x:row r="69">
      <x:c r="A69" s="18" t="n">
        <x:v>68</x:v>
      </x:c>
      <x:c r="B69" s="18" t="str">
        <x:v>HH05</x:v>
      </x:c>
      <x:c r="C69" s="18" t="n">
        <x:v>1991</x:v>
      </x:c>
      <x:c r="D69" s="18" t="str">
        <x:v>Geto Boys</x:v>
      </x:c>
      <x:c r="E69" s="18" t="str">
        <x:v>Mind Playing Tricks on Me</x:v>
      </x:c>
      <x:c r="F69" s="18" t="str">
        <x:v>original album version</x:v>
      </x:c>
      <x:c r="G69" s="18" t="str">
        <x:v>Houston</x:v>
      </x:c>
      <x:c r="H69" s="18" t="str">
        <x:v>Southern; psychological; narrative</x:v>
      </x:c>
      <x:c r="I69" s="18" t="str">
        <x:v>Paranoia vulnerability and Southern national breakthrough</x:v>
      </x:c>
      <x:c r="J69" s="18" t="str">
        <x:v>selected_main_route</x:v>
      </x:c>
      <x:c r="K69" s="18" t="str">
        <x:v>verified_musicbrainz</x:v>
      </x:c>
      <x:c r="L69" s="18" t="str">
        <x:v>https://musicbrainz.org/recording/60e0ad5e-54c1-4536-8aaf-7788af9e420a</x:v>
      </x:c>
      <x:c r="M69" s="18" t="str">
        <x:v>resolved_exact</x:v>
      </x:c>
      <x:c r="N69" s="18" t="str">
        <x:v>https://soundcloud.com/getoboys/mind-playing-tricks-on-me</x:v>
      </x:c>
      <x:c r="O69" s="18" t="n">
        <x:v>287778735</x:v>
      </x:c>
      <x:c r="P69" s="18" t="str">
        <x:v>Geto Boys</x:v>
      </x:c>
      <x:c r="Q69" s="18" t="n">
        <x:v>308767</x:v>
      </x:c>
      <x:c r="R69" s="18" t="str">
        <x:v>open_or_monetized</x:v>
      </x:c>
      <x:c r="S69" s="18" t="str">
        <x:v>Structured SoundCloud catalog metadata matches artist, title, and intended unaltered version.</x:v>
      </x:c>
      <x:c r="T69" s="18" t="str">
        <x:v>track-068</x:v>
      </x:c>
      <x:c r="U69" s="18" t="str">
        <x:v>Canonical</x:v>
      </x:c>
    </x:row>
    <x:row r="70">
      <x:c r="A70" s="18" t="n">
        <x:v>69</x:v>
      </x:c>
      <x:c r="B70" s="18" t="str">
        <x:v>HH05</x:v>
      </x:c>
      <x:c r="C70" s="18" t="n">
        <x:v>1991</x:v>
      </x:c>
      <x:c r="D70" s="18" t="str">
        <x:v>DJ Quik</x:v>
      </x:c>
      <x:c r="E70" s="18" t="str">
        <x:v>Tonite</x:v>
      </x:c>
      <x:c r="F70" s="18" t="str">
        <x:v>original album version</x:v>
      </x:c>
      <x:c r="G70" s="18" t="str">
        <x:v>Compton / California</x:v>
      </x:c>
      <x:c r="H70" s="18" t="str">
        <x:v>West-Coast; funk; producer-MC</x:v>
      </x:c>
      <x:c r="I70" s="18" t="str">
        <x:v>Producer-MC swing and everyday narrative</x:v>
      </x:c>
      <x:c r="J70" s="18" t="str">
        <x:v>selected_main_route</x:v>
      </x:c>
      <x:c r="K70" s="18" t="str">
        <x:v>verified_soundcloud_catalog</x:v>
      </x:c>
      <x:c r="L70" s="18" t="str">
        <x:v>https://soundcloud.com/djquikofficial/tonite</x:v>
      </x:c>
      <x:c r="M70" s="18" t="str">
        <x:v>resolved_exact</x:v>
      </x:c>
      <x:c r="N70" s="18" t="str">
        <x:v>https://soundcloud.com/djquikofficial/tonite</x:v>
      </x:c>
      <x:c r="O70" s="18" t="n">
        <x:v>254062978</x:v>
      </x:c>
      <x:c r="P70" s="18" t="str">
        <x:v>DJ Quik</x:v>
      </x:c>
      <x:c r="Q70" s="18" t="n">
        <x:v>323318</x:v>
      </x:c>
      <x:c r="R70" s="18" t="str">
        <x:v>subscriber_catalog</x:v>
      </x:c>
      <x:c r="S70" s="18" t="str">
        <x:v>Structured SoundCloud catalog metadata matches artist, title, and intended unaltered version.</x:v>
      </x:c>
      <x:c r="T70" s="18" t="str">
        <x:v>track-069</x:v>
      </x:c>
      <x:c r="U70" s="18" t="str">
        <x:v>Verify clean/sample-altered variants</x:v>
      </x:c>
    </x:row>
    <x:row r="71">
      <x:c r="A71" s="18" t="n">
        <x:v>70</x:v>
      </x:c>
      <x:c r="B71" s="18" t="str">
        <x:v>HH05</x:v>
      </x:c>
      <x:c r="C71" s="18" t="n">
        <x:v>1990</x:v>
      </x:c>
      <x:c r="D71" s="18" t="str">
        <x:v>Too $hort</x:v>
      </x:c>
      <x:c r="E71" s="18" t="str">
        <x:v>The Ghetto</x:v>
      </x:c>
      <x:c r="F71" s="18" t="str">
        <x:v>original album version</x:v>
      </x:c>
      <x:c r="G71" s="18" t="str">
        <x:v>Oakland / California</x:v>
      </x:c>
      <x:c r="H71" s="18" t="str">
        <x:v>Bay-Area; social-reportage; funk</x:v>
      </x:c>
      <x:c r="I71" s="18" t="str">
        <x:v>Bay Area social report beyond party persona</x:v>
      </x:c>
      <x:c r="J71" s="18" t="str">
        <x:v>selected_main_route</x:v>
      </x:c>
      <x:c r="K71" s="18" t="str">
        <x:v>verified_musicbrainz</x:v>
      </x:c>
      <x:c r="L71" s="18" t="str">
        <x:v>https://musicbrainz.org/recording/a02ddc30-13b1-4a49-a0ff-6f0b90ccc91a</x:v>
      </x:c>
      <x:c r="M71" s="18" t="str">
        <x:v>resolved_exact</x:v>
      </x:c>
      <x:c r="N71" s="18" t="str">
        <x:v>https://soundcloud.com/officialtooshort/the-ghetto-1</x:v>
      </x:c>
      <x:c r="O71" s="18" t="n">
        <x:v>445091841</x:v>
      </x:c>
      <x:c r="P71" s="18" t="str">
        <x:v>Too $hort</x:v>
      </x:c>
      <x:c r="Q71" s="18" t="n">
        <x:v>302315</x:v>
      </x:c>
      <x:c r="R71" s="18" t="str">
        <x:v>subscriber_catalog</x:v>
      </x:c>
      <x:c r="S71" s="18" t="str">
        <x:v>Structured SoundCloud catalog metadata matches artist, title, and intended unaltered version.</x:v>
      </x:c>
      <x:c r="T71" s="18" t="str">
        <x:v>track-070</x:v>
      </x:c>
      <x:c r="U71" s="18" t="str">
        <x:v>Exact title typography</x:v>
      </x:c>
    </x:row>
    <x:row r="72">
      <x:c r="A72" s="18" t="n">
        <x:v>71</x:v>
      </x:c>
      <x:c r="B72" s="18" t="str">
        <x:v>HH05</x:v>
      </x:c>
      <x:c r="C72" s="18" t="n">
        <x:v>1991</x:v>
      </x:c>
      <x:c r="D72" s="18" t="str">
        <x:v>Organized Konfusion</x:v>
      </x:c>
      <x:c r="E72" s="18" t="str">
        <x:v>Fudge Pudge</x:v>
      </x:c>
      <x:c r="F72" s="18" t="str">
        <x:v>original album version</x:v>
      </x:c>
      <x:c r="G72" s="18" t="str">
        <x:v>Queens / New York</x:v>
      </x:c>
      <x:c r="H72" s="18" t="str">
        <x:v>lyrical; abstract; duo</x:v>
      </x:c>
      <x:c r="I72" s="18" t="str">
        <x:v>Dense multi-MC formalism and eccentric production</x:v>
      </x:c>
      <x:c r="J72" s="18" t="str">
        <x:v>selected_main_route</x:v>
      </x:c>
      <x:c r="K72" s="18" t="str">
        <x:v>verified_musicbrainz</x:v>
      </x:c>
      <x:c r="L72" s="18" t="str">
        <x:v>https://musicbrainz.org/recording/9364a7bb-962a-47d0-a825-e9d086f3b5e5</x:v>
      </x:c>
      <x:c r="M72" s="18" t="str">
        <x:v>resolved_exact</x:v>
      </x:c>
      <x:c r="N72" s="18" t="str">
        <x:v>https://soundcloud.com/organized-konfusion/fudge-pudge-1</x:v>
      </x:c>
      <x:c r="O72" s="18" t="n">
        <x:v>1149679780</x:v>
      </x:c>
      <x:c r="P72" s="18" t="str">
        <x:v>Organized Konfusion</x:v>
      </x:c>
      <x:c r="Q72" s="18" t="n">
        <x:v>331076</x:v>
      </x:c>
      <x:c r="R72" s="18" t="str">
        <x:v>open_or_monetized</x:v>
      </x:c>
      <x:c r="S72" s="18" t="str">
        <x:v>Structured SoundCloud catalog metadata matches artist, title, and intended unaltered version.</x:v>
      </x:c>
      <x:c r="T72" s="18" t="str">
        <x:v>track-071</x:v>
      </x:c>
      <x:c r="U72" s="18" t="str">
        <x:v>Deep-route choice</x:v>
      </x:c>
    </x:row>
    <x:row r="73">
      <x:c r="A73" s="18" t="n">
        <x:v>72</x:v>
      </x:c>
      <x:c r="B73" s="18" t="str">
        <x:v>HH05</x:v>
      </x:c>
      <x:c r="C73" s="18" t="n">
        <x:v>1991</x:v>
      </x:c>
      <x:c r="D73" s="18" t="str">
        <x:v>Main Source</x:v>
      </x:c>
      <x:c r="E73" s="18" t="str">
        <x:v>Live at the Barbeque</x:v>
      </x:c>
      <x:c r="F73" s="18" t="str">
        <x:v>original album version</x:v>
      </x:c>
      <x:c r="G73" s="18" t="str">
        <x:v>New York / Toronto</x:v>
      </x:c>
      <x:c r="H73" s="18" t="str">
        <x:v>posse-cut; producer-MC; debut</x:v>
      </x:c>
      <x:c r="I73" s="18" t="str">
        <x:v>Posse cut as scene introduction including Nas debut</x:v>
      </x:c>
      <x:c r="J73" s="18" t="str">
        <x:v>selected_main_route</x:v>
      </x:c>
      <x:c r="K73" s="18" t="str">
        <x:v>metadata_source_incomplete</x:v>
      </x:c>
      <x:c r="L73" s="18" t="str">
        <x:v>https://musicbrainz.org/recording/2f894175-c11e-46e1-a93b-6045763b9a57</x:v>
      </x:c>
      <x:c r="M73" s="18" t="str">
        <x:v>resolved_probable_exact</x:v>
      </x:c>
      <x:c r="N73" s="18" t="str">
        <x:v>https://soundcloud.com/hiphop-classics1/main-source-live-at-the-barbeque-1991</x:v>
      </x:c>
      <x:c r="O73" s="18" t="n">
        <x:v>319641068</x:v>
      </x:c>
      <x:c r="P73" s="18" t="str">
        <x:v>Hip Hop Classics</x:v>
      </x:c>
      <x:c r="Q73" s="18" t="n">
        <x:v>259707</x:v>
      </x:c>
      <x:c r="R73" s="18" t="str">
        <x:v>open_or_monetized</x:v>
      </x:c>
      <x:c r="S73" s="18" t="str">
        <x:v>Full user upload appears to match the album recording; remixes and short excerpts were rejected.</x:v>
      </x:c>
      <x:c r="T73" s="18" t="str">
        <x:v>track-072</x:v>
      </x:c>
      <x:c r="U73" s="18" t="str">
        <x:v>Canadian-US production circuit</x:v>
      </x:c>
    </x:row>
    <x:row r="74">
      <x:c r="A74" s="18" t="n">
        <x:v>73</x:v>
      </x:c>
      <x:c r="B74" s="18" t="str">
        <x:v>HH05</x:v>
      </x:c>
      <x:c r="C74" s="18" t="n">
        <x:v>1991</x:v>
      </x:c>
      <x:c r="D74" s="18" t="str">
        <x:v>Yo-Yo featuring Ice Cube</x:v>
      </x:c>
      <x:c r="E74" s="18" t="str">
        <x:v>You Can't Play with My Yo-Yo</x:v>
      </x:c>
      <x:c r="F74" s="18" t="str">
        <x:v>original Make Way for the Motherlode version</x:v>
      </x:c>
      <x:c r="G74" s="18" t="str">
        <x:v>Los Angeles</x:v>
      </x:c>
      <x:c r="H74" s="18" t="str">
        <x:v>women; West-Coast; Black-feminist</x:v>
      </x:c>
      <x:c r="I74" s="18" t="str">
        <x:v>Woman MC authority and gender argument inside the West Coast system</x:v>
      </x:c>
      <x:c r="J74" s="18" t="str">
        <x:v>selected_main_route</x:v>
      </x:c>
      <x:c r="K74" s="18" t="str">
        <x:v>verified_musicbrainz</x:v>
      </x:c>
      <x:c r="L74" s="18" t="str">
        <x:v>https://musicbrainz.org/recording/d2a2edd8-f485-44be-b57c-99d3f5ac7817</x:v>
      </x:c>
      <x:c r="M74" s="18" t="str">
        <x:v>resolved_exact</x:v>
      </x:c>
      <x:c r="N74" s="18" t="str">
        <x:v>https://soundcloud.com/yoyo41/yo-yo-you-cant-play-with-my-yo</x:v>
      </x:c>
      <x:c r="O74" s="18" t="n">
        <x:v>232331828</x:v>
      </x:c>
      <x:c r="P74" s="18" t="str">
        <x:v>Yo-Yo</x:v>
      </x:c>
      <x:c r="Q74" s="18" t="n">
        <x:v>304799</x:v>
      </x:c>
      <x:c r="R74" s="18" t="str">
        <x:v>open_or_monetized</x:v>
      </x:c>
      <x:c r="S74" s="18" t="str">
        <x:v>Structured SoundCloud catalog metadata matches artist, title, and intended unaltered version.</x:v>
      </x:c>
      <x:c r="T74" s="18" t="str">
        <x:v>track-073</x:v>
      </x:c>
      <x:c r="U74" s="18" t="str">
        <x:v>Feature and album version verify</x:v>
      </x:c>
    </x:row>
    <x:row r="75">
      <x:c r="A75" s="18" t="n">
        <x:v>74</x:v>
      </x:c>
      <x:c r="B75" s="18" t="str">
        <x:v>HH05</x:v>
      </x:c>
      <x:c r="C75" s="18" t="n">
        <x:v>1992</x:v>
      </x:c>
      <x:c r="D75" s="18" t="str">
        <x:v>Arrested Development</x:v>
      </x:c>
      <x:c r="E75" s="18" t="str">
        <x:v>Tennessee</x:v>
      </x:c>
      <x:c r="F75" s="18" t="str">
        <x:v>original album version</x:v>
      </x:c>
      <x:c r="G75" s="18" t="str">
        <x:v>Atlanta</x:v>
      </x:c>
      <x:c r="H75" s="18" t="str">
        <x:v>Southern; spirituality; memory</x:v>
      </x:c>
      <x:c r="I75" s="18" t="str">
        <x:v>Southern spirituality memory and crossover</x:v>
      </x:c>
      <x:c r="J75" s="18" t="str">
        <x:v>selected_main_route</x:v>
      </x:c>
      <x:c r="K75" s="18" t="str">
        <x:v>verified_musicbrainz</x:v>
      </x:c>
      <x:c r="L75" s="18" t="str">
        <x:v>https://musicbrainz.org/recording/70829644-5fa5-46a0-b0dd-e36b47655801</x:v>
      </x:c>
      <x:c r="M75" s="18" t="str">
        <x:v>resolved_exact</x:v>
      </x:c>
      <x:c r="N75" s="18" t="str">
        <x:v>https://soundcloud.com/arrested-development-official/tennessee</x:v>
      </x:c>
      <x:c r="O75" s="18" t="n">
        <x:v>252889503</x:v>
      </x:c>
      <x:c r="P75" s="18" t="str">
        <x:v>Arrested Development</x:v>
      </x:c>
      <x:c r="Q75" s="18" t="n">
        <x:v>272796</x:v>
      </x:c>
      <x:c r="R75" s="18" t="str">
        <x:v>subscriber_catalog</x:v>
      </x:c>
      <x:c r="S75" s="18" t="str">
        <x:v>Structured SoundCloud catalog metadata matches artist, title, and intended unaltered version.</x:v>
      </x:c>
      <x:c r="T75" s="18" t="str">
        <x:v>track-074</x:v>
      </x:c>
      <x:c r="U75" s="18" t="str">
        <x:v>Confirmed Tom recognition anchor</x:v>
      </x:c>
    </x:row>
    <x:row r="76">
      <x:c r="A76" s="18" t="n">
        <x:v>75</x:v>
      </x:c>
      <x:c r="B76" s="18" t="str">
        <x:v>HH05</x:v>
      </x:c>
      <x:c r="C76" s="18" t="n">
        <x:v>1991</x:v>
      </x:c>
      <x:c r="D76" s="18" t="str">
        <x:v>Cypress Hill</x:v>
      </x:c>
      <x:c r="E76" s="18" t="str">
        <x:v>How I Could Just Kill a Man</x:v>
      </x:c>
      <x:c r="F76" s="18" t="str">
        <x:v>original Cypress Hill album version</x:v>
      </x:c>
      <x:c r="G76" s="18" t="str">
        <x:v>Los Angeles</x:v>
      </x:c>
      <x:c r="H76" s="18" t="str">
        <x:v>Latino; West-Coast; sample; street</x:v>
      </x:c>
      <x:c r="I76" s="18" t="str">
        <x:v>Latino Los Angeles authorship and a distinct sample-heavy West Coast language</x:v>
      </x:c>
      <x:c r="J76" s="18" t="str">
        <x:v>selected_main_route</x:v>
      </x:c>
      <x:c r="K76" s="18" t="str">
        <x:v>verified_musicbrainz</x:v>
      </x:c>
      <x:c r="L76" s="18" t="str">
        <x:v>https://musicbrainz.org/recording/c059b614-2b75-4dfa-8b84-57d075ccda83</x:v>
      </x:c>
      <x:c r="M76" s="18" t="str">
        <x:v>resolved_exact</x:v>
      </x:c>
      <x:c r="N76" s="18" t="str">
        <x:v>https://soundcloud.com/cypress-hill/how-i-could-just-kill-a-man-1</x:v>
      </x:c>
      <x:c r="O76" s="18" t="n">
        <x:v>254097047</x:v>
      </x:c>
      <x:c r="P76" s="18" t="str">
        <x:v>Cypress Hill</x:v>
      </x:c>
      <x:c r="Q76" s="18" t="n">
        <x:v>252240</x:v>
      </x:c>
      <x:c r="R76" s="18" t="str">
        <x:v>subscriber_catalog</x:v>
      </x:c>
      <x:c r="S76" s="18" t="str">
        <x:v>Structured SoundCloud catalog metadata matches artist, title, and intended unaltered version.</x:v>
      </x:c>
      <x:c r="T76" s="18" t="str">
        <x:v>track-075</x:v>
      </x:c>
      <x:c r="U76" s="18" t="str">
        <x:v>Verify album versus single mix</x:v>
      </x:c>
    </x:row>
    <x:row r="77">
      <x:c r="A77" s="18" t="n">
        <x:v>76</x:v>
      </x:c>
      <x:c r="B77" s="18" t="str">
        <x:v>HH05</x:v>
      </x:c>
      <x:c r="C77" s="18" t="n">
        <x:v>1991</x:v>
      </x:c>
      <x:c r="D77" s="18" t="str">
        <x:v>IAM</x:v>
      </x:c>
      <x:c r="E77" s="18" t="str">
        <x:v>Red Black and Green</x:v>
      </x:c>
      <x:c r="F77" s="18" t="str">
        <x:v>original ...De la planète Mars album version</x:v>
      </x:c>
      <x:c r="G77" s="18" t="str">
        <x:v>Marseille / France</x:v>
      </x:c>
      <x:c r="H77" s="18" t="str">
        <x:v>French-rap; political; global</x:v>
      </x:c>
      <x:c r="I77" s="18" t="str">
        <x:v>Marseille identity and political color symbolism</x:v>
      </x:c>
      <x:c r="J77" s="18" t="str">
        <x:v>selected_main_route</x:v>
      </x:c>
      <x:c r="K77" s="18" t="str">
        <x:v>verified_musicbrainz</x:v>
      </x:c>
      <x:c r="L77" s="18" t="str">
        <x:v>https://musicbrainz.org/recording/1a308a52-9f8b-4b34-a208-d0e3faa645ff</x:v>
      </x:c>
      <x:c r="M77" s="18" t="str">
        <x:v>resolved_exact</x:v>
      </x:c>
      <x:c r="N77" s="18" t="str">
        <x:v>https://soundcloud.com/iam-74571/red-black-and-green-1</x:v>
      </x:c>
      <x:c r="O77" s="18" t="n">
        <x:v>265521370</x:v>
      </x:c>
      <x:c r="P77" s="18" t="str">
        <x:v>IAM</x:v>
      </x:c>
      <x:c r="Q77" s="18" t="n">
        <x:v>304405</x:v>
      </x:c>
      <x:c r="R77" s="18" t="str">
        <x:v>subscriber_catalog</x:v>
      </x:c>
      <x:c r="S77" s="18" t="str">
        <x:v>Structured SoundCloud catalog metadata matches artist, title, and intended unaltered version.</x:v>
      </x:c>
      <x:c r="T77" s="18" t="str">
        <x:v>track-076</x:v>
      </x:c>
      <x:c r="U77" s="18" t="str">
        <x:v>Title/version verify</x:v>
      </x:c>
    </x:row>
    <x:row r="78">
      <x:c r="A78" s="18" t="n">
        <x:v>77</x:v>
      </x:c>
      <x:c r="B78" s="18" t="str">
        <x:v>HH05</x:v>
      </x:c>
      <x:c r="C78" s="18" t="n">
        <x:v>1990</x:v>
      </x:c>
      <x:c r="D78" s="18" t="str">
        <x:v>Vico C</x:v>
      </x:c>
      <x:c r="E78" s="18" t="str">
        <x:v>La Recta Final</x:v>
      </x:c>
      <x:c r="F78" s="18" t="str">
        <x:v>original Hispanic Soul version</x:v>
      </x:c>
      <x:c r="G78" s="18" t="str">
        <x:v>Puerto Rico</x:v>
      </x:c>
      <x:c r="H78" s="18" t="str">
        <x:v>Spanish-language; Puerto-Rican-rap; Caribbean</x:v>
      </x:c>
      <x:c r="I78" s="18" t="str">
        <x:v>Puerto Rican rap infrastructure and Spanish-language authority</x:v>
      </x:c>
      <x:c r="J78" s="18" t="str">
        <x:v>selected_main_route</x:v>
      </x:c>
      <x:c r="K78" s="18" t="str">
        <x:v>verified_musicbrainz</x:v>
      </x:c>
      <x:c r="L78" s="18" t="str">
        <x:v>https://musicbrainz.org/recording/757ac47d-6e68-4d17-b9f8-ce9001c21345</x:v>
      </x:c>
      <x:c r="M78" s="18" t="str">
        <x:v>resolved_exact</x:v>
      </x:c>
      <x:c r="N78" s="18" t="str">
        <x:v>https://soundcloud.com/vico-c-official/la-recta-final</x:v>
      </x:c>
      <x:c r="O78" s="18" t="n">
        <x:v>324166123</x:v>
      </x:c>
      <x:c r="P78" s="18" t="str">
        <x:v>Vico C</x:v>
      </x:c>
      <x:c r="Q78" s="18" t="n">
        <x:v>391925</x:v>
      </x:c>
      <x:c r="R78" s="18" t="str">
        <x:v>subscriber_catalog</x:v>
      </x:c>
      <x:c r="S78" s="18" t="str">
        <x:v>Structured SoundCloud catalog metadata matches artist, title, and intended unaltered version.</x:v>
      </x:c>
      <x:c r="T78" s="18" t="str">
        <x:v>track-077</x:v>
      </x:c>
      <x:c r="U78" s="18" t="str">
        <x:v>Exact 1989/1990 release chronology and master verify</x:v>
      </x:c>
    </x:row>
    <x:row r="79">
      <x:c r="A79" s="18" t="n">
        <x:v>78</x:v>
      </x:c>
      <x:c r="B79" s="18" t="str">
        <x:v>HH05</x:v>
      </x:c>
      <x:c r="C79" s="18" t="n">
        <x:v>1990</x:v>
      </x:c>
      <x:c r="D79" s="18" t="str">
        <x:v>Prophets of Da City</x:v>
      </x:c>
      <x:c r="E79" s="18" t="str">
        <x:v>Our World</x:v>
      </x:c>
      <x:c r="F79" s="18" t="str">
        <x:v>original album version</x:v>
      </x:c>
      <x:c r="G79" s="18" t="str">
        <x:v>Cape Town / South Africa</x:v>
      </x:c>
      <x:c r="H79" s="18" t="str">
        <x:v>anti-apartheid; African-hip-hop; political</x:v>
      </x:c>
      <x:c r="I79" s="18" t="str">
        <x:v>Early South African localization and political address</x:v>
      </x:c>
      <x:c r="J79" s="18" t="str">
        <x:v>selected_main_route</x:v>
      </x:c>
      <x:c r="K79" s="18" t="str">
        <x:v>metadata_source_incomplete</x:v>
      </x:c>
      <x:c r="L79" s="18" t="str">
        <x:v>https://musicbrainz.org/ws/2/recording/?query=recording%3A%22Our+World%22+AND+artist%3A%22Prophets+of+Da+City%22&amp;fmt=json&amp;limit=8</x:v>
      </x:c>
      <x:c r="M79" s="18" t="str">
        <x:v>unavailable_exact</x:v>
      </x:c>
      <x:c r="N79" s="18" t="str"/>
      <x:c r="O79" s="18" t="str"/>
      <x:c r="P79" s="18" t="str"/>
      <x:c r="Q79" s="18" t="str"/>
      <x:c r="R79" s="18" t="str"/>
      <x:c r="S79" s="18" t="str">
        <x:v>No Prophets of Da City recording matching this title was found; same-title results were unrelated.</x:v>
      </x:c>
      <x:c r="T79" s="18" t="str">
        <x:v>track-078</x:v>
      </x:c>
      <x:c r="U79" s="18" t="str">
        <x:v>Release metadata audit required</x:v>
      </x:c>
    </x:row>
    <x:row r="80">
      <x:c r="A80" s="18" t="n">
        <x:v>79</x:v>
      </x:c>
      <x:c r="B80" s="18" t="str">
        <x:v>HH05</x:v>
      </x:c>
      <x:c r="C80" s="18" t="n">
        <x:v>1988</x:v>
      </x:c>
      <x:c r="D80" s="18" t="str">
        <x:v>London Posse</x:v>
      </x:c>
      <x:c r="E80" s="18" t="str">
        <x:v>Money Mad</x:v>
      </x:c>
      <x:c r="F80" s="18" t="str">
        <x:v>original version</x:v>
      </x:c>
      <x:c r="G80" s="18" t="str">
        <x:v>London / United Kingdom</x:v>
      </x:c>
      <x:c r="H80" s="18" t="str">
        <x:v>UK-rap; Caribbean-British; accent</x:v>
      </x:c>
      <x:c r="I80" s="18" t="str">
        <x:v>British and Caribbean vocal identity against US imitation</x:v>
      </x:c>
      <x:c r="J80" s="18" t="str">
        <x:v>selected_main_route</x:v>
      </x:c>
      <x:c r="K80" s="18" t="str">
        <x:v>metadata_source_incomplete</x:v>
      </x:c>
      <x:c r="L80" s="18" t="str">
        <x:v>https://musicbrainz.org/recording/bf888d81-e5c5-434b-8add-a01fc4bc9614</x:v>
      </x:c>
      <x:c r="M80" s="18" t="str">
        <x:v>unavailable_exact</x:v>
      </x:c>
      <x:c r="N80" s="18" t="str"/>
      <x:c r="O80" s="18" t="str"/>
      <x:c r="P80" s="18" t="str"/>
      <x:c r="Q80" s="18" t="str"/>
      <x:c r="R80" s="18" t="str"/>
      <x:c r="S80" s="18" t="str">
        <x:v>The artist catalog exposes later remixes, not the intended original.</x:v>
      </x:c>
      <x:c r="T80" s="18" t="str">
        <x:v>track-079</x:v>
      </x:c>
      <x:c r="U80" s="18" t="str">
        <x:v>Resolve 1988 single versus 1990 album form</x:v>
      </x:c>
    </x:row>
    <x:row r="81">
      <x:c r="A81" s="18" t="n">
        <x:v>80</x:v>
      </x:c>
      <x:c r="B81" s="18" t="str">
        <x:v>HH05</x:v>
      </x:c>
      <x:c r="C81" s="18" t="n">
        <x:v>1990</x:v>
      </x:c>
      <x:c r="D81" s="18" t="str">
        <x:v>Monie Love</x:v>
      </x:c>
      <x:c r="E81" s="18" t="str">
        <x:v>Monie in the Middle</x:v>
      </x:c>
      <x:c r="F81" s="18" t="str">
        <x:v>original album version</x:v>
      </x:c>
      <x:c r="G81" s="18" t="str">
        <x:v>London / New York</x:v>
      </x:c>
      <x:c r="H81" s="18" t="str">
        <x:v>women; UK-rap; Native-Tongues</x:v>
      </x:c>
      <x:c r="I81" s="18" t="str">
        <x:v>British woman MC inside a transatlantic scene</x:v>
      </x:c>
      <x:c r="J81" s="18" t="str">
        <x:v>selected_main_route</x:v>
      </x:c>
      <x:c r="K81" s="18" t="str">
        <x:v>verified_musicbrainz</x:v>
      </x:c>
      <x:c r="L81" s="18" t="str">
        <x:v>https://musicbrainz.org/recording/349bd1df-d67c-435d-b04c-2d982e36675f</x:v>
      </x:c>
      <x:c r="M81" s="18" t="str">
        <x:v>resolved_exact</x:v>
      </x:c>
      <x:c r="N81" s="18" t="str">
        <x:v>https://soundcloud.com/monie-love-official/monie-in-the-middle</x:v>
      </x:c>
      <x:c r="O81" s="18" t="n">
        <x:v>267360897</x:v>
      </x:c>
      <x:c r="P81" s="18" t="str">
        <x:v>Monie Love</x:v>
      </x:c>
      <x:c r="Q81" s="18" t="n">
        <x:v>224862</x:v>
      </x:c>
      <x:c r="R81" s="18" t="str">
        <x:v>open_or_monetized</x:v>
      </x:c>
      <x:c r="S81" s="18" t="str">
        <x:v>Structured SoundCloud catalog metadata matches artist, title, and intended unaltered version.</x:v>
      </x:c>
      <x:c r="T81" s="18" t="str">
        <x:v>track-080</x:v>
      </x:c>
      <x:c r="U81" s="18" t="str">
        <x:v>Verify UK/US issue differences</x:v>
      </x:c>
    </x:row>
    <x:row r="82">
      <x:c r="A82" s="18" t="n">
        <x:v>81</x:v>
      </x:c>
      <x:c r="B82" s="18" t="str">
        <x:v>HH06</x:v>
      </x:c>
      <x:c r="C82" s="18" t="n">
        <x:v>1992</x:v>
      </x:c>
      <x:c r="D82" s="18" t="str">
        <x:v>Dr. Dre featuring Snoop Doggy Dogg</x:v>
      </x:c>
      <x:c r="E82" s="18" t="str">
        <x:v>Nuthin' but a 'G' Thang</x:v>
      </x:c>
      <x:c r="F82" s="18" t="str">
        <x:v>original The Chronic album version</x:v>
      </x:c>
      <x:c r="G82" s="18" t="str">
        <x:v>Los Angeles / Long Beach</x:v>
      </x:c>
      <x:c r="H82" s="18" t="str">
        <x:v>G-funk; producer-auteur; flow</x:v>
      </x:c>
      <x:c r="I82" s="18" t="str">
        <x:v>G-funk synthesis and producer-centered album world</x:v>
      </x:c>
      <x:c r="J82" s="18" t="str">
        <x:v>selected_main_route</x:v>
      </x:c>
      <x:c r="K82" s="18" t="str">
        <x:v>verified_musicbrainz</x:v>
      </x:c>
      <x:c r="L82" s="18" t="str">
        <x:v>https://musicbrainz.org/recording/d571e6b7-bbf2-4dd3-bf76-3806a3c11f25</x:v>
      </x:c>
      <x:c r="M82" s="18" t="str">
        <x:v>resolved_exact</x:v>
      </x:c>
      <x:c r="N82" s="18" t="str">
        <x:v>https://soundcloud.com/dr-dre-music/nuthin-but-a-g-thang</x:v>
      </x:c>
      <x:c r="O82" s="18" t="n">
        <x:v>257475639</x:v>
      </x:c>
      <x:c r="P82" s="18" t="str">
        <x:v>Dr. Dre</x:v>
      </x:c>
      <x:c r="Q82" s="18" t="n">
        <x:v>237573</x:v>
      </x:c>
      <x:c r="R82" s="18" t="str">
        <x:v>subscriber_catalog</x:v>
      </x:c>
      <x:c r="S82" s="18" t="str">
        <x:v>Structured SoundCloud catalog metadata matches artist, title, and intended unaltered version.</x:v>
      </x:c>
      <x:c r="T82" s="18" t="str">
        <x:v>track-081</x:v>
      </x:c>
      <x:c r="U82" s="18" t="str">
        <x:v>Canonical</x:v>
      </x:c>
    </x:row>
    <x:row r="83">
      <x:c r="A83" s="18" t="n">
        <x:v>82</x:v>
      </x:c>
      <x:c r="B83" s="18" t="str">
        <x:v>HH06</x:v>
      </x:c>
      <x:c r="C83" s="18" t="n">
        <x:v>1993</x:v>
      </x:c>
      <x:c r="D83" s="18" t="str">
        <x:v>Snoop Doggy Dogg</x:v>
      </x:c>
      <x:c r="E83" s="18" t="str">
        <x:v>Gin and Juice</x:v>
      </x:c>
      <x:c r="F83" s="18" t="str">
        <x:v>original Doggystyle album version</x:v>
      </x:c>
      <x:c r="G83" s="18" t="str">
        <x:v>Long Beach / California</x:v>
      </x:c>
      <x:c r="H83" s="18" t="str">
        <x:v>G-funk; persona; flow</x:v>
      </x:c>
      <x:c r="I83" s="18" t="str">
        <x:v>Relaxed flow and domestic party narrative</x:v>
      </x:c>
      <x:c r="J83" s="18" t="str">
        <x:v>selected_main_route</x:v>
      </x:c>
      <x:c r="K83" s="18" t="str">
        <x:v>verified_musicbrainz</x:v>
      </x:c>
      <x:c r="L83" s="18" t="str">
        <x:v>https://musicbrainz.org/recording/eb2b666c-c04f-41a5-90cc-5755c98f7245</x:v>
      </x:c>
      <x:c r="M83" s="18" t="str">
        <x:v>resolved_exact</x:v>
      </x:c>
      <x:c r="N83" s="18" t="str">
        <x:v>https://soundcloud.com/snoopdogg/gin-and-juice-6</x:v>
      </x:c>
      <x:c r="O83" s="18" t="n">
        <x:v>1496998453</x:v>
      </x:c>
      <x:c r="P83" s="18" t="str">
        <x:v>Snoop Dogg</x:v>
      </x:c>
      <x:c r="Q83" s="18" t="n">
        <x:v>211540</x:v>
      </x:c>
      <x:c r="R83" s="18" t="str">
        <x:v>open_or_monetized</x:v>
      </x:c>
      <x:c r="S83" s="18" t="str">
        <x:v>Structured SoundCloud catalog metadata matches artist, title, and intended unaltered version.</x:v>
      </x:c>
      <x:c r="T83" s="18" t="str">
        <x:v>track-082</x:v>
      </x:c>
      <x:c r="U83" s="18" t="str">
        <x:v>Canonical</x:v>
      </x:c>
    </x:row>
    <x:row r="84">
      <x:c r="A84" s="18" t="n">
        <x:v>83</x:v>
      </x:c>
      <x:c r="B84" s="18" t="str">
        <x:v>HH06</x:v>
      </x:c>
      <x:c r="C84" s="18" t="n">
        <x:v>1993</x:v>
      </x:c>
      <x:c r="D84" s="18" t="str">
        <x:v>2Pac</x:v>
      </x:c>
      <x:c r="E84" s="18" t="str">
        <x:v>Keep Ya Head Up</x:v>
      </x:c>
      <x:c r="F84" s="18" t="str">
        <x:v>original album version</x:v>
      </x:c>
      <x:c r="G84" s="18" t="str">
        <x:v>California</x:v>
      </x:c>
      <x:c r="H84" s="18" t="str">
        <x:v>message; women; social-critique</x:v>
      </x:c>
      <x:c r="I84" s="18" t="str">
        <x:v>Popular political address on misogyny poverty and survival</x:v>
      </x:c>
      <x:c r="J84" s="18" t="str">
        <x:v>selected_main_route</x:v>
      </x:c>
      <x:c r="K84" s="18" t="str">
        <x:v>verified_musicbrainz</x:v>
      </x:c>
      <x:c r="L84" s="18" t="str">
        <x:v>https://musicbrainz.org/recording/da3bb7bc-f9cc-4f29-8cd5-67ac3cff7503</x:v>
      </x:c>
      <x:c r="M84" s="18" t="str">
        <x:v>resolved_exact</x:v>
      </x:c>
      <x:c r="N84" s="18" t="str">
        <x:v>https://soundcloud.com/2pac/keep-ya-head-up</x:v>
      </x:c>
      <x:c r="O84" s="18" t="n">
        <x:v>252536699</x:v>
      </x:c>
      <x:c r="P84" s="18" t="str">
        <x:v>2Pac</x:v>
      </x:c>
      <x:c r="Q84" s="18" t="n">
        <x:v>262557</x:v>
      </x:c>
      <x:c r="R84" s="18" t="str">
        <x:v>open_or_monetized</x:v>
      </x:c>
      <x:c r="S84" s="18" t="str">
        <x:v>Structured SoundCloud catalog metadata matches artist, title, and intended unaltered version.</x:v>
      </x:c>
      <x:c r="T84" s="18" t="str">
        <x:v>track-083</x:v>
      </x:c>
      <x:c r="U84" s="18" t="str">
        <x:v>Contextualize contradiction across catalog</x:v>
      </x:c>
    </x:row>
    <x:row r="85">
      <x:c r="A85" s="18" t="n">
        <x:v>84</x:v>
      </x:c>
      <x:c r="B85" s="18" t="str">
        <x:v>HH06</x:v>
      </x:c>
      <x:c r="C85" s="18" t="n">
        <x:v>1993</x:v>
      </x:c>
      <x:c r="D85" s="18" t="str">
        <x:v>Wu-Tang Clan</x:v>
      </x:c>
      <x:c r="E85" s="18" t="str">
        <x:v>C.R.E.A.M.</x:v>
      </x:c>
      <x:c r="F85" s="18" t="str">
        <x:v>original album version</x:v>
      </x:c>
      <x:c r="G85" s="18" t="str">
        <x:v>Staten Island / New York</x:v>
      </x:c>
      <x:c r="H85" s="18" t="str">
        <x:v>crew; dusty-sampling; street-reportage</x:v>
      </x:c>
      <x:c r="I85" s="18" t="str">
        <x:v>Crew mythology and economic street report</x:v>
      </x:c>
      <x:c r="J85" s="18" t="str">
        <x:v>selected_main_route</x:v>
      </x:c>
      <x:c r="K85" s="18" t="str">
        <x:v>verified_soundcloud_catalog</x:v>
      </x:c>
      <x:c r="L85" s="18" t="str">
        <x:v>https://soundcloud.com/wu-tang-clan-official/c-r-e-a-m-album-version</x:v>
      </x:c>
      <x:c r="M85" s="18" t="str">
        <x:v>resolved_exact</x:v>
      </x:c>
      <x:c r="N85" s="18" t="str">
        <x:v>https://soundcloud.com/wu-tang-clan-official/c-r-e-a-m-album-version</x:v>
      </x:c>
      <x:c r="O85" s="18" t="n">
        <x:v>252772725</x:v>
      </x:c>
      <x:c r="P85" s="18" t="str">
        <x:v>Wu-Tang Clan</x:v>
      </x:c>
      <x:c r="Q85" s="18" t="n">
        <x:v>252056</x:v>
      </x:c>
      <x:c r="R85" s="18" t="str">
        <x:v>subscriber_catalog</x:v>
      </x:c>
      <x:c r="S85" s="18" t="str">
        <x:v>Artist-catalog album version; a shorter user upload was rejected.</x:v>
      </x:c>
      <x:c r="T85" s="18" t="str">
        <x:v>track-084</x:v>
      </x:c>
      <x:c r="U85" s="18" t="str">
        <x:v>Canonical and cliched because indispensable</x:v>
      </x:c>
    </x:row>
    <x:row r="86">
      <x:c r="A86" s="18" t="n">
        <x:v>85</x:v>
      </x:c>
      <x:c r="B86" s="18" t="str">
        <x:v>HH06</x:v>
      </x:c>
      <x:c r="C86" s="18" t="n">
        <x:v>1994</x:v>
      </x:c>
      <x:c r="D86" s="18" t="str">
        <x:v>Nas</x:v>
      </x:c>
      <x:c r="E86" s="18" t="str">
        <x:v>N.Y. State of Mind</x:v>
      </x:c>
      <x:c r="F86" s="18" t="str">
        <x:v>original Illmatic album version</x:v>
      </x:c>
      <x:c r="G86" s="18" t="str">
        <x:v>Queensbridge / New York</x:v>
      </x:c>
      <x:c r="H86" s="18" t="str">
        <x:v>lyrical; boom-bap; narrative</x:v>
      </x:c>
      <x:c r="I86" s="18" t="str">
        <x:v>Interior rhyme scene-setting and producer anthology model</x:v>
      </x:c>
      <x:c r="J86" s="18" t="str">
        <x:v>selected_main_route</x:v>
      </x:c>
      <x:c r="K86" s="18" t="str">
        <x:v>verified_musicbrainz</x:v>
      </x:c>
      <x:c r="L86" s="18" t="str">
        <x:v>https://musicbrainz.org/recording/28ca75db-8326-4ae9-b916-dbc6d9be6c26</x:v>
      </x:c>
      <x:c r="M86" s="18" t="str">
        <x:v>resolved_exact</x:v>
      </x:c>
      <x:c r="N86" s="18" t="str">
        <x:v>https://soundcloud.com/nasirjones/n-y-state-of-mind-1</x:v>
      </x:c>
      <x:c r="O86" s="18" t="n">
        <x:v>290148866</x:v>
      </x:c>
      <x:c r="P86" s="18" t="str">
        <x:v>Nasir Jones</x:v>
      </x:c>
      <x:c r="Q86" s="18" t="n">
        <x:v>292049</x:v>
      </x:c>
      <x:c r="R86" s="18" t="str">
        <x:v>subscriber_catalog</x:v>
      </x:c>
      <x:c r="S86" s="18" t="str">
        <x:v>Structured SoundCloud catalog metadata matches artist, title, and intended unaltered version.</x:v>
      </x:c>
      <x:c r="T86" s="18" t="str">
        <x:v>track-085</x:v>
      </x:c>
      <x:c r="U86" s="18" t="str">
        <x:v>Canonical</x:v>
      </x:c>
    </x:row>
    <x:row r="87">
      <x:c r="A87" s="18" t="n">
        <x:v>86</x:v>
      </x:c>
      <x:c r="B87" s="18" t="str">
        <x:v>HH06</x:v>
      </x:c>
      <x:c r="C87" s="18" t="n">
        <x:v>1994</x:v>
      </x:c>
      <x:c r="D87" s="18" t="str">
        <x:v>The Notorious B.I.G.</x:v>
      </x:c>
      <x:c r="E87" s="18" t="str">
        <x:v>Warning</x:v>
      </x:c>
      <x:c r="F87" s="18" t="str">
        <x:v>original Ready to Die album version</x:v>
      </x:c>
      <x:c r="G87" s="18" t="str">
        <x:v>Brooklyn / New York</x:v>
      </x:c>
      <x:c r="H87" s="18" t="str">
        <x:v>narrative; mafioso; flow</x:v>
      </x:c>
      <x:c r="I87" s="18" t="str">
        <x:v>Telephone-frame suspense and vocal character control</x:v>
      </x:c>
      <x:c r="J87" s="18" t="str">
        <x:v>selected_main_route</x:v>
      </x:c>
      <x:c r="K87" s="18" t="str">
        <x:v>metadata_source_incomplete</x:v>
      </x:c>
      <x:c r="L87" s="18" t="str">
        <x:v>https://musicbrainz.org/recording/28b09f0a-b322-417b-b6b9-d851d2e5165e</x:v>
      </x:c>
      <x:c r="M87" s="18" t="str">
        <x:v>unavailable_exact</x:v>
      </x:c>
      <x:c r="N87" s="18" t="str"/>
      <x:c r="O87" s="18" t="str"/>
      <x:c r="P87" s="18" t="str"/>
      <x:c r="Q87" s="18" t="str"/>
      <x:c r="R87" s="18" t="str"/>
      <x:c r="S87" s="18" t="str">
        <x:v>The artist-catalog entry is explicitly a 2005 remaster; the original album master remains guide-only.</x:v>
      </x:c>
      <x:c r="T87" s="18" t="str">
        <x:v>track-086</x:v>
      </x:c>
      <x:c r="U87" s="18" t="str">
        <x:v>Avoid reducing artist to coastal rivalry</x:v>
      </x:c>
    </x:row>
    <x:row r="88">
      <x:c r="A88" s="18" t="n">
        <x:v>87</x:v>
      </x:c>
      <x:c r="B88" s="18" t="str">
        <x:v>HH06</x:v>
      </x:c>
      <x:c r="C88" s="18" t="n">
        <x:v>1995</x:v>
      </x:c>
      <x:c r="D88" s="18" t="str">
        <x:v>Mobb Deep</x:v>
      </x:c>
      <x:c r="E88" s="18" t="str">
        <x:v>Shook Ones Pt. II</x:v>
      </x:c>
      <x:c r="F88" s="18" t="str">
        <x:v>original album version</x:v>
      </x:c>
      <x:c r="G88" s="18" t="str">
        <x:v>Queensbridge / New York</x:v>
      </x:c>
      <x:c r="H88" s="18" t="str">
        <x:v>hardcore; minimal; street</x:v>
      </x:c>
      <x:c r="I88" s="18" t="str">
        <x:v>Severe loop economy and collective menace</x:v>
      </x:c>
      <x:c r="J88" s="18" t="str">
        <x:v>selected_main_route</x:v>
      </x:c>
      <x:c r="K88" s="18" t="str">
        <x:v>verified_soundcloud_catalog</x:v>
      </x:c>
      <x:c r="L88" s="18" t="str">
        <x:v>https://soundcloud.com/mobbdeepqb/shook-ones-pt-ii</x:v>
      </x:c>
      <x:c r="M88" s="18" t="str">
        <x:v>resolved_exact</x:v>
      </x:c>
      <x:c r="N88" s="18" t="str">
        <x:v>https://soundcloud.com/mobbdeepqb/shook-ones-pt-ii</x:v>
      </x:c>
      <x:c r="O88" s="18" t="n">
        <x:v>254207778</x:v>
      </x:c>
      <x:c r="P88" s="18" t="str">
        <x:v>Mobb Deep</x:v>
      </x:c>
      <x:c r="Q88" s="18" t="n">
        <x:v>327236</x:v>
      </x:c>
      <x:c r="R88" s="18" t="str">
        <x:v>subscriber_catalog</x:v>
      </x:c>
      <x:c r="S88" s="18" t="str">
        <x:v>Artist-catalog album recording; the entry labeled remastered LP was rejected.</x:v>
      </x:c>
      <x:c r="T88" s="18" t="str">
        <x:v>track-087</x:v>
      </x:c>
      <x:c r="U88" s="18" t="str">
        <x:v>Canonical</x:v>
      </x:c>
    </x:row>
    <x:row r="89">
      <x:c r="A89" s="18" t="n">
        <x:v>88</x:v>
      </x:c>
      <x:c r="B89" s="18" t="str">
        <x:v>HH06</x:v>
      </x:c>
      <x:c r="C89" s="18" t="n">
        <x:v>1993</x:v>
      </x:c>
      <x:c r="D89" s="18" t="str">
        <x:v>Boss</x:v>
      </x:c>
      <x:c r="E89" s="18" t="str">
        <x:v>Deeper</x:v>
      </x:c>
      <x:c r="F89" s="18" t="str">
        <x:v>original Born Gangstaz album version</x:v>
      </x:c>
      <x:c r="G89" s="18" t="str">
        <x:v>Detroit / Los Angeles</x:v>
      </x:c>
      <x:c r="H89" s="18" t="str">
        <x:v>women; Midwest; gangsta</x:v>
      </x:c>
      <x:c r="I89" s="18" t="str">
        <x:v>A Detroit woman MC's forceful intervention in gangsta-rap marketing and performance</x:v>
      </x:c>
      <x:c r="J89" s="18" t="str">
        <x:v>selected_main_route</x:v>
      </x:c>
      <x:c r="K89" s="18" t="str">
        <x:v>verified_musicbrainz</x:v>
      </x:c>
      <x:c r="L89" s="18" t="str">
        <x:v>https://musicbrainz.org/recording/b6498450-6137-4f94-8b66-93591de3d3b3</x:v>
      </x:c>
      <x:c r="M89" s="18" t="str">
        <x:v>resolved_exact</x:v>
      </x:c>
      <x:c r="N89" s="18" t="str">
        <x:v>https://soundcloud.com/the-boss-official/deeper-album-version</x:v>
      </x:c>
      <x:c r="O89" s="18" t="n">
        <x:v>259046177</x:v>
      </x:c>
      <x:c r="P89" s="18" t="str">
        <x:v>The Boss</x:v>
      </x:c>
      <x:c r="Q89" s="18" t="n">
        <x:v>241607</x:v>
      </x:c>
      <x:c r="R89" s="18" t="str">
        <x:v>subscriber_catalog</x:v>
      </x:c>
      <x:c r="S89" s="18" t="str">
        <x:v>Structured SoundCloud catalog metadata matches artist, title, and intended unaltered version.</x:v>
      </x:c>
      <x:c r="T89" s="18" t="str">
        <x:v>track-088</x:v>
      </x:c>
      <x:c r="U89" s="18" t="str">
        <x:v>Contextualize label-manufactured biography debates</x:v>
      </x:c>
    </x:row>
    <x:row r="90">
      <x:c r="A90" s="18" t="n">
        <x:v>89</x:v>
      </x:c>
      <x:c r="B90" s="18" t="str">
        <x:v>HH06</x:v>
      </x:c>
      <x:c r="C90" s="18" t="n">
        <x:v>1996</x:v>
      </x:c>
      <x:c r="D90" s="18" t="str">
        <x:v>Bone Thugs-N-Harmony</x:v>
      </x:c>
      <x:c r="E90" s="18" t="str">
        <x:v>Tha Crossroads</x:v>
      </x:c>
      <x:c r="F90" s="18" t="str">
        <x:v>preferred 1996 remix/single version</x:v>
      </x:c>
      <x:c r="G90" s="18" t="str">
        <x:v>Cleveland / Ohio</x:v>
      </x:c>
      <x:c r="H90" s="18" t="str">
        <x:v>Midwest; melodic-flow; mourning</x:v>
      </x:c>
      <x:c r="I90" s="18" t="str">
        <x:v>Rapid melodic ensemble flow and Midwestern national breakthrough</x:v>
      </x:c>
      <x:c r="J90" s="18" t="str">
        <x:v>selected_main_route</x:v>
      </x:c>
      <x:c r="K90" s="18" t="str">
        <x:v>verified_musicbrainz</x:v>
      </x:c>
      <x:c r="L90" s="18" t="str">
        <x:v>https://musicbrainz.org/recording/dcf60a47-1815-43c2-97cd-627b92a311c3</x:v>
      </x:c>
      <x:c r="M90" s="18" t="str">
        <x:v>resolved_exact</x:v>
      </x:c>
      <x:c r="N90" s="18" t="str">
        <x:v>https://soundcloud.com/bonethugsnharmony/tha-crossroads-1</x:v>
      </x:c>
      <x:c r="O90" s="18" t="n">
        <x:v>278532466</x:v>
      </x:c>
      <x:c r="P90" s="18" t="str">
        <x:v>Bone Thugs-N-Harmony</x:v>
      </x:c>
      <x:c r="Q90" s="18" t="n">
        <x:v>223582</x:v>
      </x:c>
      <x:c r="R90" s="18" t="str">
        <x:v>open_or_monetized</x:v>
      </x:c>
      <x:c r="S90" s="18" t="str">
        <x:v>Structured SoundCloud catalog metadata matches artist, title, and intended unaltered version.</x:v>
      </x:c>
      <x:c r="T90" s="18" t="str">
        <x:v>track-089</x:v>
      </x:c>
      <x:c r="U90" s="18" t="str">
        <x:v>Known original/remix distinction must be fixed</x:v>
      </x:c>
    </x:row>
    <x:row r="91">
      <x:c r="A91" s="18" t="n">
        <x:v>90</x:v>
      </x:c>
      <x:c r="B91" s="18" t="str">
        <x:v>HH06</x:v>
      </x:c>
      <x:c r="C91" s="18" t="n">
        <x:v>1993</x:v>
      </x:c>
      <x:c r="D91" s="18" t="str">
        <x:v>The Coup</x:v>
      </x:c>
      <x:c r="E91" s="18" t="str">
        <x:v>Dig It!</x:v>
      </x:c>
      <x:c r="F91" s="18" t="str">
        <x:v>original album version</x:v>
      </x:c>
      <x:c r="G91" s="18" t="str">
        <x:v>Oakland / California</x:v>
      </x:c>
      <x:c r="H91" s="18" t="str">
        <x:v>political; funk; radical</x:v>
      </x:c>
      <x:c r="I91" s="18" t="str">
        <x:v>Radical politics wit and Bay Area funk</x:v>
      </x:c>
      <x:c r="J91" s="18" t="str">
        <x:v>selected_main_route</x:v>
      </x:c>
      <x:c r="K91" s="18" t="str">
        <x:v>verified_musicbrainz</x:v>
      </x:c>
      <x:c r="L91" s="18" t="str">
        <x:v>https://musicbrainz.org/recording/10985d55-544e-4113-b4c6-be9280964a91</x:v>
      </x:c>
      <x:c r="M91" s="18" t="str">
        <x:v>unavailable_exact</x:v>
      </x:c>
      <x:c r="N91" s="18" t="str"/>
      <x:c r="O91" s="18" t="str"/>
      <x:c r="P91" s="18" t="str"/>
      <x:c r="Q91" s="18" t="str"/>
      <x:c r="R91" s="18" t="str"/>
      <x:c r="S91" s="18" t="str">
        <x:v>Only an edit and unrelated same-title recordings were found.</x:v>
      </x:c>
      <x:c r="T91" s="18" t="str">
        <x:v>track-090</x:v>
      </x:c>
      <x:c r="U91" s="18" t="str">
        <x:v>Recognition prompt</x:v>
      </x:c>
    </x:row>
    <x:row r="92">
      <x:c r="A92" s="18" t="n">
        <x:v>91</x:v>
      </x:c>
      <x:c r="B92" s="18" t="str">
        <x:v>HH06</x:v>
      </x:c>
      <x:c r="C92" s="18" t="n">
        <x:v>1994</x:v>
      </x:c>
      <x:c r="D92" s="18" t="str">
        <x:v>Outkast featuring CeeLo</x:v>
      </x:c>
      <x:c r="E92" s="18" t="str">
        <x:v>Git Up, Git Out</x:v>
      </x:c>
      <x:c r="F92" s="18" t="str">
        <x:v>original Southernplayalistic album version</x:v>
      </x:c>
      <x:c r="G92" s="18" t="str">
        <x:v>Atlanta</x:v>
      </x:c>
      <x:c r="H92" s="18" t="str">
        <x:v>Southern; Organized-Noize; message</x:v>
      </x:c>
      <x:c r="I92" s="18" t="str">
        <x:v>Southern self-determination and Dungeon Family ecology</x:v>
      </x:c>
      <x:c r="J92" s="18" t="str">
        <x:v>selected_main_route</x:v>
      </x:c>
      <x:c r="K92" s="18" t="str">
        <x:v>verified_musicbrainz</x:v>
      </x:c>
      <x:c r="L92" s="18" t="str">
        <x:v>https://musicbrainz.org/recording/fb1f0971-bdcb-49d7-a720-d0126d4c7e38</x:v>
      </x:c>
      <x:c r="M92" s="18" t="str">
        <x:v>resolved_exact</x:v>
      </x:c>
      <x:c r="N92" s="18" t="str">
        <x:v>https://soundcloud.com/outkast-music/git-up-git-out-1</x:v>
      </x:c>
      <x:c r="O92" s="18" t="n">
        <x:v>253850309</x:v>
      </x:c>
      <x:c r="P92" s="18" t="str">
        <x:v>Outkast</x:v>
      </x:c>
      <x:c r="Q92" s="18" t="n">
        <x:v>447060</x:v>
      </x:c>
      <x:c r="R92" s="18" t="str">
        <x:v>subscriber_catalog</x:v>
      </x:c>
      <x:c r="S92" s="18" t="str">
        <x:v>Structured SoundCloud catalog metadata matches artist, title, and intended unaltered version.</x:v>
      </x:c>
      <x:c r="T92" s="18" t="str">
        <x:v>track-091</x:v>
      </x:c>
      <x:c r="U92" s="18" t="str">
        <x:v>Exact feature credits verify</x:v>
      </x:c>
    </x:row>
    <x:row r="93">
      <x:c r="A93" s="18" t="n">
        <x:v>92</x:v>
      </x:c>
      <x:c r="B93" s="18" t="str">
        <x:v>HH06</x:v>
      </x:c>
      <x:c r="C93" s="18" t="n">
        <x:v>1995</x:v>
      </x:c>
      <x:c r="D93" s="18" t="str">
        <x:v>Goodie Mob</x:v>
      </x:c>
      <x:c r="E93" s="18" t="str">
        <x:v>Cell Therapy</x:v>
      </x:c>
      <x:c r="F93" s="18" t="str">
        <x:v>original Soul Food album version</x:v>
      </x:c>
      <x:c r="G93" s="18" t="str">
        <x:v>Atlanta</x:v>
      </x:c>
      <x:c r="H93" s="18" t="str">
        <x:v>Southern; political; paranoia</x:v>
      </x:c>
      <x:c r="I93" s="18" t="str">
        <x:v>Collective political paranoia and Southern gothic atmosphere</x:v>
      </x:c>
      <x:c r="J93" s="18" t="str">
        <x:v>selected_main_route</x:v>
      </x:c>
      <x:c r="K93" s="18" t="str">
        <x:v>verified_soundcloud_catalog</x:v>
      </x:c>
      <x:c r="L93" s="18" t="str">
        <x:v>https://soundcloud.com/goodie-mob-music/cell-therapy-1</x:v>
      </x:c>
      <x:c r="M93" s="18" t="str">
        <x:v>resolved_exact</x:v>
      </x:c>
      <x:c r="N93" s="18" t="str">
        <x:v>https://soundcloud.com/goodie-mob-music/cell-therapy-1</x:v>
      </x:c>
      <x:c r="O93" s="18" t="n">
        <x:v>302521123</x:v>
      </x:c>
      <x:c r="P93" s="18" t="str">
        <x:v>Goodie Mob Music</x:v>
      </x:c>
      <x:c r="Q93" s="18" t="n">
        <x:v>277185</x:v>
      </x:c>
      <x:c r="R93" s="18" t="str">
        <x:v>subscriber_catalog</x:v>
      </x:c>
      <x:c r="S93" s="18" t="str">
        <x:v>Structured SoundCloud catalog metadata matches artist, title, and intended unaltered version.</x:v>
      </x:c>
      <x:c r="T93" s="18" t="str">
        <x:v>track-092</x:v>
      </x:c>
      <x:c r="U93" s="18" t="str">
        <x:v>Canonical regional anchor</x:v>
      </x:c>
    </x:row>
    <x:row r="94">
      <x:c r="A94" s="18" t="n">
        <x:v>93</x:v>
      </x:c>
      <x:c r="B94" s="18" t="str">
        <x:v>HH06</x:v>
      </x:c>
      <x:c r="C94" s="18" t="n">
        <x:v>1996</x:v>
      </x:c>
      <x:c r="D94" s="18" t="str">
        <x:v>UGK</x:v>
      </x:c>
      <x:c r="E94" s="18" t="str">
        <x:v>One Day</x:v>
      </x:c>
      <x:c r="F94" s="18" t="str">
        <x:v>original Ridin' Dirty album version</x:v>
      </x:c>
      <x:c r="G94" s="18" t="str">
        <x:v>Port Arthur / Houston</x:v>
      </x:c>
      <x:c r="H94" s="18" t="str">
        <x:v>Southern; mortality; funk</x:v>
      </x:c>
      <x:c r="I94" s="18" t="str">
        <x:v>Texas narrative melancholy and regional independence</x:v>
      </x:c>
      <x:c r="J94" s="18" t="str">
        <x:v>selected_main_route</x:v>
      </x:c>
      <x:c r="K94" s="18" t="str">
        <x:v>verified_musicbrainz</x:v>
      </x:c>
      <x:c r="L94" s="18" t="str">
        <x:v>https://musicbrainz.org/recording/58f9a274-9ab6-40ef-81d9-06f4dc14b22a</x:v>
      </x:c>
      <x:c r="M94" s="18" t="str">
        <x:v>unavailable_exact</x:v>
      </x:c>
      <x:c r="N94" s="18" t="str"/>
      <x:c r="O94" s="18" t="str"/>
      <x:c r="P94" s="18" t="str"/>
      <x:c r="Q94" s="18" t="str"/>
      <x:c r="R94" s="18" t="str"/>
      <x:c r="S94" s="18" t="str">
        <x:v>The artist catalog offers a radio version and the user uploads did not securely match the album master.</x:v>
      </x:c>
      <x:c r="T94" s="18" t="str">
        <x:v>track-093</x:v>
      </x:c>
      <x:c r="U94" s="18" t="str">
        <x:v>Verify feature credits</x:v>
      </x:c>
    </x:row>
    <x:row r="95">
      <x:c r="A95" s="18" t="n">
        <x:v>94</x:v>
      </x:c>
      <x:c r="B95" s="18" t="str">
        <x:v>HH06</x:v>
      </x:c>
      <x:c r="C95" s="18" t="n">
        <x:v>1995</x:v>
      </x:c>
      <x:c r="D95" s="18" t="str">
        <x:v>Three 6 Mafia</x:v>
      </x:c>
      <x:c r="E95" s="18" t="str">
        <x:v>Da Summa</x:v>
      </x:c>
      <x:c r="F95" s="18" t="str">
        <x:v>original Mystic Stylez album version</x:v>
      </x:c>
      <x:c r="G95" s="18" t="str">
        <x:v>Memphis</x:v>
      </x:c>
      <x:c r="H95" s="18" t="str">
        <x:v>Memphis; cassette-lineage; dark</x:v>
      </x:c>
      <x:c r="I95" s="18" t="str">
        <x:v>Memphis atmosphere beyond horror caricature</x:v>
      </x:c>
      <x:c r="J95" s="18" t="str">
        <x:v>selected_main_route</x:v>
      </x:c>
      <x:c r="K95" s="18" t="str">
        <x:v>metadata_source_incomplete</x:v>
      </x:c>
      <x:c r="L95" s="18" t="str">
        <x:v>https://musicbrainz.org/recording/1eb09768-d071-4cf8-9322-7c828bf61f46</x:v>
      </x:c>
      <x:c r="M95" s="18" t="str">
        <x:v>unavailable_exact</x:v>
      </x:c>
      <x:c r="N95" s="18" t="str"/>
      <x:c r="O95" s="18" t="str"/>
      <x:c r="P95" s="18" t="str"/>
      <x:c r="Q95" s="18" t="str"/>
      <x:c r="R95" s="18" t="str"/>
      <x:c r="S95" s="18" t="str">
        <x:v>Only chopped-and-screwed or otherwise altered uploads were found.</x:v>
      </x:c>
      <x:c r="T95" s="18" t="str">
        <x:v>track-094</x:v>
      </x:c>
      <x:c r="U95" s="18" t="str">
        <x:v>Original album master required</x:v>
      </x:c>
    </x:row>
    <x:row r="96">
      <x:c r="A96" s="18" t="n">
        <x:v>95</x:v>
      </x:c>
      <x:c r="B96" s="18" t="str">
        <x:v>HH06</x:v>
      </x:c>
      <x:c r="C96" s="18" t="n">
        <x:v>1996</x:v>
      </x:c>
      <x:c r="D96" s="18" t="str">
        <x:v>DJ Screw and Screwed Up Click</x:v>
      </x:c>
      <x:c r="E96" s="18" t="str">
        <x:v>June 27th Freestyle</x:v>
      </x:c>
      <x:c r="F96" s="18" t="str">
        <x:v>original June 27 mixtape performance</x:v>
      </x:c>
      <x:c r="G96" s="18" t="str">
        <x:v>Houston</x:v>
      </x:c>
      <x:c r="H96" s="18" t="str">
        <x:v>chopped-and-screwed; mixtape; freestyle</x:v>
      </x:c>
      <x:c r="I96" s="18" t="str">
        <x:v>Screw culture as collective listening practice</x:v>
      </x:c>
      <x:c r="J96" s="18" t="str">
        <x:v>selected_main_route</x:v>
      </x:c>
      <x:c r="K96" s="18" t="str">
        <x:v>metadata_source_incomplete</x:v>
      </x:c>
      <x:c r="L96" s="18" t="str">
        <x:v>https://musicbrainz.org/ws/2/recording/?query=recording%3A%22June+27th+Freestyle%22+AND+artist%3A%22DJ+Screw+and+Screwed+Up+Click%22&amp;fmt=json&amp;limit=8</x:v>
      </x:c>
      <x:c r="M96" s="18" t="str">
        <x:v>unavailable_exact</x:v>
      </x:c>
      <x:c r="N96" s="18" t="str"/>
      <x:c r="O96" s="18" t="str"/>
      <x:c r="P96" s="18" t="str"/>
      <x:c r="Q96" s="18" t="str"/>
      <x:c r="R96" s="18" t="str"/>
      <x:c r="S96" s="18" t="str">
        <x:v>Search results did not establish an exact DJ Screw and Screwed Up Click June 27 performance.</x:v>
      </x:c>
      <x:c r="T96" s="18" t="str">
        <x:v>track-095</x:v>
      </x:c>
      <x:c r="U96" s="18" t="str">
        <x:v>Long-form object; exact tape chapter and excerpt policy needed</x:v>
      </x:c>
    </x:row>
    <x:row r="97">
      <x:c r="A97" s="18" t="n">
        <x:v>96</x:v>
      </x:c>
      <x:c r="B97" s="18" t="str">
        <x:v>HH06</x:v>
      </x:c>
      <x:c r="C97" s="18" t="n">
        <x:v>1992</x:v>
      </x:c>
      <x:c r="D97" s="18" t="str">
        <x:v>DJ Jimi feat. Juvenile</x:v>
      </x:c>
      <x:c r="E97" s="18" t="str">
        <x:v>Bounce (For the Juvenile)</x:v>
      </x:c>
      <x:c r="F97" s="18" t="str">
        <x:v>original It's Jimi album version</x:v>
      </x:c>
      <x:c r="G97" s="18" t="str">
        <x:v>New Orleans</x:v>
      </x:c>
      <x:c r="H97" s="18" t="str">
        <x:v>bounce; dance; regional</x:v>
      </x:c>
      <x:c r="I97" s="18" t="str">
        <x:v>Early New Orleans bounce vocal and rhythmic practice</x:v>
      </x:c>
      <x:c r="J97" s="18" t="str">
        <x:v>selected_main_route</x:v>
      </x:c>
      <x:c r="K97" s="18" t="str">
        <x:v>verified_soundcloud_catalog</x:v>
      </x:c>
      <x:c r="L97" s="18" t="str">
        <x:v>https://soundcloud.com/djjimi-music/bounce-for-the-juvenile</x:v>
      </x:c>
      <x:c r="M97" s="18" t="str">
        <x:v>resolved_exact</x:v>
      </x:c>
      <x:c r="N97" s="18" t="str">
        <x:v>https://soundcloud.com/djjimi-music/bounce-for-the-juvenile</x:v>
      </x:c>
      <x:c r="O97" s="18" t="n">
        <x:v>582766992</x:v>
      </x:c>
      <x:c r="P97" s="18" t="str">
        <x:v>DJ Jimi</x:v>
      </x:c>
      <x:c r="Q97" s="18" t="n">
        <x:v>284760</x:v>
      </x:c>
      <x:c r="R97" s="18" t="str">
        <x:v>open_or_monetized</x:v>
      </x:c>
      <x:c r="S97" s="18" t="str">
        <x:v>Official catalog upload matches the 4:44 recording on DJ Jimi's 1992 It's Jimi album; Juvenile is the featured vocalist, not the primary artist.</x:v>
      </x:c>
      <x:c r="T97" s="18" t="str">
        <x:v>track-096</x:v>
      </x:c>
      <x:c r="U97" s="18" t="str">
        <x:v>Corrected attribution and year</x:v>
      </x:c>
    </x:row>
    <x:row r="98">
      <x:c r="A98" s="18" t="n">
        <x:v>97</x:v>
      </x:c>
      <x:c r="B98" s="18" t="str">
        <x:v>HH06</x:v>
      </x:c>
      <x:c r="C98" s="18" t="n">
        <x:v>1993</x:v>
      </x:c>
      <x:c r="D98" s="18" t="str">
        <x:v>DJ Jubilee</x:v>
      </x:c>
      <x:c r="E98" s="18" t="str">
        <x:v>Do the Jubilee All</x:v>
      </x:c>
      <x:c r="F98" s="18" t="str">
        <x:v>original version</x:v>
      </x:c>
      <x:c r="G98" s="18" t="str">
        <x:v>New Orleans</x:v>
      </x:c>
      <x:c r="H98" s="18" t="str">
        <x:v>bounce; dance-instruction; DJ</x:v>
      </x:c>
      <x:c r="I98" s="18" t="str">
        <x:v>Dance instruction and local participatory function</x:v>
      </x:c>
      <x:c r="J98" s="18" t="str">
        <x:v>selected_main_route</x:v>
      </x:c>
      <x:c r="K98" s="18" t="str">
        <x:v>metadata_source_incomplete</x:v>
      </x:c>
      <x:c r="L98" s="18" t="str">
        <x:v>https://musicbrainz.org/recording/b1cd1cf9-8209-4a92-9fbc-1b7e86a4e7df</x:v>
      </x:c>
      <x:c r="M98" s="18" t="str">
        <x:v>resolved_probable_exact</x:v>
      </x:c>
      <x:c r="N98" s="18" t="str">
        <x:v>https://soundcloud.com/user-843129432/dj-jubilee-jubilee-all</x:v>
      </x:c>
      <x:c r="O98" s="18" t="n">
        <x:v>915563650</x:v>
      </x:c>
      <x:c r="P98" s="18" t="str">
        <x:v>DJ2Nappi</x:v>
      </x:c>
      <x:c r="Q98" s="18" t="n">
        <x:v>261904</x:v>
      </x:c>
      <x:c r="R98" s="18" t="str">
        <x:v>open_or_monetized</x:v>
      </x:c>
      <x:c r="S98" s="18" t="str">
        <x:v>User upload matches the intended title and performance; provenance remains informal.</x:v>
      </x:c>
      <x:c r="T98" s="18" t="str">
        <x:v>track-097</x:v>
      </x:c>
      <x:c r="U98" s="18" t="str">
        <x:v>Exact release source required</x:v>
      </x:c>
    </x:row>
    <x:row r="99">
      <x:c r="A99" s="18" t="n">
        <x:v>98</x:v>
      </x:c>
      <x:c r="B99" s="18" t="str">
        <x:v>HH06</x:v>
      </x:c>
      <x:c r="C99" s="18" t="n">
        <x:v>1994</x:v>
      </x:c>
      <x:c r="D99" s="18" t="str">
        <x:v>Common</x:v>
      </x:c>
      <x:c r="E99" s="18" t="str">
        <x:v>I Used to Love H.E.R.</x:v>
      </x:c>
      <x:c r="F99" s="18" t="str">
        <x:v>original album version</x:v>
      </x:c>
      <x:c r="G99" s="18" t="str">
        <x:v>Chicago</x:v>
      </x:c>
      <x:c r="H99" s="18" t="str">
        <x:v>allegory; critique; Midwest</x:v>
      </x:c>
      <x:c r="I99" s="18" t="str">
        <x:v>Allegorical hip-hop criticism and contested gendering</x:v>
      </x:c>
      <x:c r="J99" s="18" t="str">
        <x:v>selected_main_route</x:v>
      </x:c>
      <x:c r="K99" s="18" t="str">
        <x:v>verified_soundcloud_catalog</x:v>
      </x:c>
      <x:c r="L99" s="18" t="str">
        <x:v>https://soundcloud.com/thinkcommon/i-used-to-love-h-e-r-1</x:v>
      </x:c>
      <x:c r="M99" s="18" t="str">
        <x:v>resolved_exact</x:v>
      </x:c>
      <x:c r="N99" s="18" t="str">
        <x:v>https://soundcloud.com/thinkcommon/i-used-to-love-h-e-r-1</x:v>
      </x:c>
      <x:c r="O99" s="18" t="n">
        <x:v>562452999</x:v>
      </x:c>
      <x:c r="P99" s="18" t="str">
        <x:v>ThinkCommon</x:v>
      </x:c>
      <x:c r="Q99" s="18" t="n">
        <x:v>278753</x:v>
      </x:c>
      <x:c r="R99" s="18" t="str">
        <x:v>subscriber_catalog</x:v>
      </x:c>
      <x:c r="S99" s="18" t="str">
        <x:v>Structured SoundCloud catalog metadata matches artist, title, and intended unaltered version.</x:v>
      </x:c>
      <x:c r="T99" s="18" t="str">
        <x:v>track-098</x:v>
      </x:c>
      <x:c r="U99" s="18" t="str">
        <x:v>Recognition prompt; include competing readings</x:v>
      </x:c>
    </x:row>
    <x:row r="100">
      <x:c r="A100" s="18" t="n">
        <x:v>99</x:v>
      </x:c>
      <x:c r="B100" s="18" t="str">
        <x:v>HH06</x:v>
      </x:c>
      <x:c r="C100" s="18" t="n">
        <x:v>1994</x:v>
      </x:c>
      <x:c r="D100" s="18" t="str">
        <x:v>Da Brat</x:v>
      </x:c>
      <x:c r="E100" s="18" t="str">
        <x:v>Funkdafied</x:v>
      </x:c>
      <x:c r="F100" s="18" t="str">
        <x:v>original album version</x:v>
      </x:c>
      <x:c r="G100" s="18" t="str">
        <x:v>Chicago / Atlanta</x:v>
      </x:c>
      <x:c r="H100" s="18" t="str">
        <x:v>women; Midwest-South; G-funk</x:v>
      </x:c>
      <x:c r="I100" s="18" t="str">
        <x:v>Woman MC crossover through a Chicago-Atlanta production circuit</x:v>
      </x:c>
      <x:c r="J100" s="18" t="str">
        <x:v>selected_main_route</x:v>
      </x:c>
      <x:c r="K100" s="18" t="str">
        <x:v>verified_musicbrainz</x:v>
      </x:c>
      <x:c r="L100" s="18" t="str">
        <x:v>https://musicbrainz.org/recording/cc094b27-d486-40d1-8311-f1a99ae73f9a</x:v>
      </x:c>
      <x:c r="M100" s="18" t="str">
        <x:v>resolved_exact</x:v>
      </x:c>
      <x:c r="N100" s="18" t="str">
        <x:v>https://soundcloud.com/da-brat-official/funkdafied-1</x:v>
      </x:c>
      <x:c r="O100" s="18" t="n">
        <x:v>253510612</x:v>
      </x:c>
      <x:c r="P100" s="18" t="str">
        <x:v>Da Brat</x:v>
      </x:c>
      <x:c r="Q100" s="18" t="n">
        <x:v>185966</x:v>
      </x:c>
      <x:c r="R100" s="18" t="str">
        <x:v>subscriber_catalog</x:v>
      </x:c>
      <x:c r="S100" s="18" t="str">
        <x:v>Structured SoundCloud catalog metadata matches artist, title, and intended unaltered version.</x:v>
      </x:c>
      <x:c r="T100" s="18" t="str">
        <x:v>track-099</x:v>
      </x:c>
      <x:c r="U100" s="18" t="str">
        <x:v>Verify remix variants</x:v>
      </x:c>
    </x:row>
    <x:row r="101">
      <x:c r="A101" s="18" t="n">
        <x:v>100</x:v>
      </x:c>
      <x:c r="B101" s="18" t="str">
        <x:v>HH06</x:v>
      </x:c>
      <x:c r="C101" s="18" t="n">
        <x:v>1996</x:v>
      </x:c>
      <x:c r="D101" s="18" t="str">
        <x:v>Bahamadia</x:v>
      </x:c>
      <x:c r="E101" s="18" t="str">
        <x:v>Uknowhowwedu</x:v>
      </x:c>
      <x:c r="F101" s="18" t="str">
        <x:v>original Kollage album version</x:v>
      </x:c>
      <x:c r="G101" s="18" t="str">
        <x:v>Philadelphia</x:v>
      </x:c>
      <x:c r="H101" s="18" t="str">
        <x:v>women; flow; jazz-rap</x:v>
      </x:c>
      <x:c r="I101" s="18" t="str">
        <x:v>Understated rhythmic precision and Philadelphia scene</x:v>
      </x:c>
      <x:c r="J101" s="18" t="str">
        <x:v>selected_main_route</x:v>
      </x:c>
      <x:c r="K101" s="18" t="str">
        <x:v>verified_musicbrainz</x:v>
      </x:c>
      <x:c r="L101" s="18" t="str">
        <x:v>https://musicbrainz.org/recording/af592c52-3727-4263-87c8-eeb7402ae622</x:v>
      </x:c>
      <x:c r="M101" s="18" t="str">
        <x:v>resolved_exact</x:v>
      </x:c>
      <x:c r="N101" s="18" t="str">
        <x:v>https://soundcloud.com/bahamadia/uknowhowwedu</x:v>
      </x:c>
      <x:c r="O101" s="18" t="n">
        <x:v>252668632</x:v>
      </x:c>
      <x:c r="P101" s="18" t="str">
        <x:v>Bahamadia</x:v>
      </x:c>
      <x:c r="Q101" s="18" t="n">
        <x:v>214955</x:v>
      </x:c>
      <x:c r="R101" s="18" t="str">
        <x:v>subscriber_catalog</x:v>
      </x:c>
      <x:c r="S101" s="18" t="str">
        <x:v>Structured SoundCloud catalog metadata matches artist, title, and intended unaltered version.</x:v>
      </x:c>
      <x:c r="T101" s="18" t="str">
        <x:v>track-100</x:v>
      </x:c>
      <x:c r="U101" s="18" t="str">
        <x:v>Deep-route anchor</x:v>
      </x:c>
    </x:row>
    <x:row r="102">
      <x:c r="A102" s="18" t="n">
        <x:v>101</x:v>
      </x:c>
      <x:c r="B102" s="18" t="str">
        <x:v>HH06</x:v>
      </x:c>
      <x:c r="C102" s="18" t="n">
        <x:v>1993</x:v>
      </x:c>
      <x:c r="D102" s="18" t="str">
        <x:v>IAM</x:v>
      </x:c>
      <x:c r="E102" s="18" t="str">
        <x:v>Je danse le mia</x:v>
      </x:c>
      <x:c r="F102" s="18" t="str">
        <x:v>original Ombre est lumière album version</x:v>
      </x:c>
      <x:c r="G102" s="18" t="str">
        <x:v>Marseille / France</x:v>
      </x:c>
      <x:c r="H102" s="18" t="str">
        <x:v>French-rap; memory; dance</x:v>
      </x:c>
      <x:c r="I102" s="18" t="str">
        <x:v>Local memory and ironic dance-floor reconstruction</x:v>
      </x:c>
      <x:c r="J102" s="18" t="str">
        <x:v>selected_main_route</x:v>
      </x:c>
      <x:c r="K102" s="18" t="str">
        <x:v>verified_musicbrainz</x:v>
      </x:c>
      <x:c r="L102" s="18" t="str">
        <x:v>https://musicbrainz.org/recording/956550d1-5837-4493-b518-49720f1d7181</x:v>
      </x:c>
      <x:c r="M102" s="18" t="str">
        <x:v>resolved_exact</x:v>
      </x:c>
      <x:c r="N102" s="18" t="str">
        <x:v>https://soundcloud.com/iam-74571/je-danse-le-mia</x:v>
      </x:c>
      <x:c r="O102" s="18" t="n">
        <x:v>254897737</x:v>
      </x:c>
      <x:c r="P102" s="18" t="str">
        <x:v>IAM</x:v>
      </x:c>
      <x:c r="Q102" s="18" t="n">
        <x:v>267285</x:v>
      </x:c>
      <x:c r="R102" s="18" t="str">
        <x:v>subscriber_catalog</x:v>
      </x:c>
      <x:c r="S102" s="18" t="str">
        <x:v>Structured SoundCloud catalog metadata matches artist, title, and intended unaltered version.</x:v>
      </x:c>
      <x:c r="T102" s="18" t="str">
        <x:v>track-101</x:v>
      </x:c>
      <x:c r="U102" s="18" t="str">
        <x:v>Resolve radio versus album mix</x:v>
      </x:c>
    </x:row>
    <x:row r="103">
      <x:c r="A103" s="18" t="n">
        <x:v>102</x:v>
      </x:c>
      <x:c r="B103" s="18" t="str">
        <x:v>HH06</x:v>
      </x:c>
      <x:c r="C103" s="18" t="n">
        <x:v>1994</x:v>
      </x:c>
      <x:c r="D103" s="18" t="str">
        <x:v>MC Solaar</x:v>
      </x:c>
      <x:c r="E103" s="18" t="str">
        <x:v>Nouveau Western</x:v>
      </x:c>
      <x:c r="F103" s="18" t="str">
        <x:v>original Prose Combat album version</x:v>
      </x:c>
      <x:c r="G103" s="18" t="str">
        <x:v>France</x:v>
      </x:c>
      <x:c r="H103" s="18" t="str">
        <x:v>French-rap; literary; sampling</x:v>
      </x:c>
      <x:c r="I103" s="18" t="str">
        <x:v>French narrative and Gainsbourg sampling</x:v>
      </x:c>
      <x:c r="J103" s="18" t="str">
        <x:v>selected_main_route</x:v>
      </x:c>
      <x:c r="K103" s="18" t="str">
        <x:v>verified_musicbrainz</x:v>
      </x:c>
      <x:c r="L103" s="18" t="str">
        <x:v>https://musicbrainz.org/recording/9276b17a-c7d8-45d5-8b14-70c206335baa</x:v>
      </x:c>
      <x:c r="M103" s="18" t="str">
        <x:v>resolved_exact</x:v>
      </x:c>
      <x:c r="N103" s="18" t="str">
        <x:v>https://soundcloud.com/mc-solaar-official/nouveau-western</x:v>
      </x:c>
      <x:c r="O103" s="18" t="n">
        <x:v>1130163922</x:v>
      </x:c>
      <x:c r="P103" s="18" t="str">
        <x:v>MC Solaar</x:v>
      </x:c>
      <x:c r="Q103" s="18" t="n">
        <x:v>274077</x:v>
      </x:c>
      <x:c r="R103" s="18" t="str">
        <x:v>subscriber_catalog</x:v>
      </x:c>
      <x:c r="S103" s="18" t="str">
        <x:v>Structured SoundCloud catalog metadata matches artist, title, and intended unaltered version.</x:v>
      </x:c>
      <x:c r="T103" s="18" t="str">
        <x:v>track-102</x:v>
      </x:c>
      <x:c r="U103" s="18" t="str">
        <x:v>Rights/version availability may vary</x:v>
      </x:c>
    </x:row>
    <x:row r="104">
      <x:c r="A104" s="18" t="n">
        <x:v>103</x:v>
      </x:c>
      <x:c r="B104" s="18" t="str">
        <x:v>HH06</x:v>
      </x:c>
      <x:c r="C104" s="18" t="n">
        <x:v>1993</x:v>
      </x:c>
      <x:c r="D104" s="18" t="str">
        <x:v>Racionais MC's</x:v>
      </x:c>
      <x:c r="E104" s="18" t="str">
        <x:v>Homem na Estrada</x:v>
      </x:c>
      <x:c r="F104" s="18" t="str">
        <x:v>original Raio X do Brasil version</x:v>
      </x:c>
      <x:c r="G104" s="18" t="str">
        <x:v>São Paulo / Brazil</x:v>
      </x:c>
      <x:c r="H104" s="18" t="str">
        <x:v>Brazilian-rap; political; periphery</x:v>
      </x:c>
      <x:c r="I104" s="18" t="str">
        <x:v>Peripheral urban reportage in Portuguese</x:v>
      </x:c>
      <x:c r="J104" s="18" t="str">
        <x:v>selected_main_route</x:v>
      </x:c>
      <x:c r="K104" s="18" t="str">
        <x:v>verified_musicbrainz</x:v>
      </x:c>
      <x:c r="L104" s="18" t="str">
        <x:v>https://musicbrainz.org/recording/ab56edae-3b98-4a28-9527-4e5a5a9dfd35</x:v>
      </x:c>
      <x:c r="M104" s="18" t="str">
        <x:v>resolved_exact</x:v>
      </x:c>
      <x:c r="N104" s="18" t="str">
        <x:v>https://soundcloud.com/racionaismcsofficial/homem-na-estrada</x:v>
      </x:c>
      <x:c r="O104" s="18" t="n">
        <x:v>318474111</x:v>
      </x:c>
      <x:c r="P104" s="18" t="str">
        <x:v>Racionais MC's</x:v>
      </x:c>
      <x:c r="Q104" s="18" t="n">
        <x:v>521949</x:v>
      </x:c>
      <x:c r="R104" s="18" t="str">
        <x:v>open_or_monetized</x:v>
      </x:c>
      <x:c r="S104" s="18" t="str">
        <x:v>Structured SoundCloud catalog metadata matches artist, title, and intended unaltered version.</x:v>
      </x:c>
      <x:c r="T104" s="18" t="str">
        <x:v>track-103</x:v>
      </x:c>
      <x:c r="U104" s="18" t="str">
        <x:v>Release/source audit required</x:v>
      </x:c>
    </x:row>
    <x:row r="105">
      <x:c r="A105" s="18" t="n">
        <x:v>104</x:v>
      </x:c>
      <x:c r="B105" s="18" t="str">
        <x:v>HH06</x:v>
      </x:c>
      <x:c r="C105" s="18" t="n">
        <x:v>1994</x:v>
      </x:c>
      <x:c r="D105" s="18" t="str">
        <x:v>Prophets of Da City</x:v>
      </x:c>
      <x:c r="E105" s="18" t="str">
        <x:v>Never Again</x:v>
      </x:c>
      <x:c r="F105" s="18" t="str">
        <x:v>original Age of Truth version</x:v>
      </x:c>
      <x:c r="G105" s="18" t="str">
        <x:v>Cape Town / South Africa</x:v>
      </x:c>
      <x:c r="H105" s="18" t="str">
        <x:v>anti-apartheid; political; African-hip-hop</x:v>
      </x:c>
      <x:c r="I105" s="18" t="str">
        <x:v>Direct anti-apartheid address during political transition</x:v>
      </x:c>
      <x:c r="J105" s="18" t="str">
        <x:v>selected_main_route</x:v>
      </x:c>
      <x:c r="K105" s="18" t="str">
        <x:v>verified_musicbrainz</x:v>
      </x:c>
      <x:c r="L105" s="18" t="str">
        <x:v>https://musicbrainz.org/recording/d49d4851-4a9d-4b40-92d1-1262f57f3a50</x:v>
      </x:c>
      <x:c r="M105" s="18" t="str">
        <x:v>unavailable_exact</x:v>
      </x:c>
      <x:c r="N105" s="18" t="str"/>
      <x:c r="O105" s="18" t="str"/>
      <x:c r="P105" s="18" t="str"/>
      <x:c r="Q105" s="18" t="str"/>
      <x:c r="R105" s="18" t="str"/>
      <x:c r="S105" s="18" t="str">
        <x:v>The available user upload could not be matched securely to the original album master.</x:v>
      </x:c>
      <x:c r="T105" s="18" t="str">
        <x:v>track-104</x:v>
      </x:c>
      <x:c r="U105" s="18" t="str">
        <x:v>Verify date and version</x:v>
      </x:c>
    </x:row>
    <x:row r="106">
      <x:c r="A106" s="18" t="n">
        <x:v>105</x:v>
      </x:c>
      <x:c r="B106" s="18" t="str">
        <x:v>HH06</x:v>
      </x:c>
      <x:c r="C106" s="18" t="n">
        <x:v>1996</x:v>
      </x:c>
      <x:c r="D106" s="18" t="str">
        <x:v>Kaliber 44</x:v>
      </x:c>
      <x:c r="E106" s="18" t="str">
        <x:v>Plus i minus</x:v>
      </x:c>
      <x:c r="F106" s="18" t="str">
        <x:v>original Księga Tajemnicza. Prolog version</x:v>
      </x:c>
      <x:c r="G106" s="18" t="str">
        <x:v>Katowice / Poland</x:v>
      </x:c>
      <x:c r="H106" s="18" t="str">
        <x:v>Polish-rap; experimental; language</x:v>
      </x:c>
      <x:c r="I106" s="18" t="str">
        <x:v>Polish-language dark experimentation and local scene formation</x:v>
      </x:c>
      <x:c r="J106" s="18" t="str">
        <x:v>selected_main_route</x:v>
      </x:c>
      <x:c r="K106" s="18" t="str">
        <x:v>verified_soundcloud_catalog</x:v>
      </x:c>
      <x:c r="L106" s="18" t="str">
        <x:v>https://soundcloud.com/olacekala6/plus-i-minus-kaliber-44</x:v>
      </x:c>
      <x:c r="M106" s="18" t="str">
        <x:v>resolved_exact</x:v>
      </x:c>
      <x:c r="N106" s="18" t="str">
        <x:v>https://soundcloud.com/olacekala6/plus-i-minus-kaliber-44</x:v>
      </x:c>
      <x:c r="O106" s="18" t="n">
        <x:v>2167155210</x:v>
      </x:c>
      <x:c r="P106" s="18" t="str">
        <x:v>Szefowa</x:v>
      </x:c>
      <x:c r="Q106" s="18" t="n">
        <x:v>298867</x:v>
      </x:c>
      <x:c r="R106" s="18" t="str">
        <x:v>open_or_monetized</x:v>
      </x:c>
      <x:c r="S106" s="18" t="str">
        <x:v>Structured SoundCloud catalog metadata matches artist, title, and intended unaltered version.</x:v>
      </x:c>
      <x:c r="T106" s="18" t="str">
        <x:v>track-105</x:v>
      </x:c>
      <x:c r="U106" s="18" t="str">
        <x:v>Metadata/source audit required</x:v>
      </x:c>
    </x:row>
    <x:row r="107">
      <x:c r="A107" s="18" t="n">
        <x:v>106</x:v>
      </x:c>
      <x:c r="B107" s="18" t="str">
        <x:v>HH06</x:v>
      </x:c>
      <x:c r="C107" s="18" t="n">
        <x:v>1995</x:v>
      </x:c>
      <x:c r="D107" s="18" t="str">
        <x:v>Positive Black Soul</x:v>
      </x:c>
      <x:c r="E107" s="18" t="str">
        <x:v>Boul ma mine</x:v>
      </x:c>
      <x:c r="F107" s="18" t="str">
        <x:v>preferred original version</x:v>
      </x:c>
      <x:c r="G107" s="18" t="str">
        <x:v>Dakar / Senegal</x:v>
      </x:c>
      <x:c r="H107" s="18" t="str">
        <x:v>Senegalese-rap; Wolof/French; political</x:v>
      </x:c>
      <x:c r="I107" s="18" t="str">
        <x:v>West African localization language and social address</x:v>
      </x:c>
      <x:c r="J107" s="18" t="str">
        <x:v>selected_main_route</x:v>
      </x:c>
      <x:c r="K107" s="18" t="str">
        <x:v>metadata_source_incomplete</x:v>
      </x:c>
      <x:c r="L107" s="18" t="str">
        <x:v>https://musicbrainz.org/recording/d91ef555-632a-4bb4-ade2-cd9b193256a3</x:v>
      </x:c>
      <x:c r="M107" s="18" t="str">
        <x:v>unavailable_exact</x:v>
      </x:c>
      <x:c r="N107" s="18" t="str"/>
      <x:c r="O107" s="18" t="str"/>
      <x:c r="P107" s="18" t="str"/>
      <x:c r="Q107" s="18" t="str"/>
      <x:c r="R107" s="18" t="str"/>
      <x:c r="S107" s="18" t="str">
        <x:v>No exact Positive Black Soul recording was found; same-title results were unrelated.</x:v>
      </x:c>
      <x:c r="T107" s="18" t="str">
        <x:v>track-106</x:v>
      </x:c>
      <x:c r="U107" s="18" t="str">
        <x:v>Exact spelling version and date verify</x:v>
      </x:c>
    </x:row>
    <x:row r="108">
      <x:c r="A108" s="18" t="n">
        <x:v>107</x:v>
      </x:c>
      <x:c r="B108" s="18" t="str">
        <x:v>HH07</x:v>
      </x:c>
      <x:c r="C108" s="18" t="n">
        <x:v>1996</x:v>
      </x:c>
      <x:c r="D108" s="18" t="str">
        <x:v>The Roots</x:v>
      </x:c>
      <x:c r="E108" s="18" t="str">
        <x:v>What They Do</x:v>
      </x:c>
      <x:c r="F108" s="18" t="str">
        <x:v>original Illadelph Halflife album version</x:v>
      </x:c>
      <x:c r="G108" s="18" t="str">
        <x:v>Philadelphia</x:v>
      </x:c>
      <x:c r="H108" s="18" t="str">
        <x:v>live-band; critique; video</x:v>
      </x:c>
      <x:c r="I108" s="18" t="str">
        <x:v>Critique of commercial performance and video convention</x:v>
      </x:c>
      <x:c r="J108" s="18" t="str">
        <x:v>selected_main_route</x:v>
      </x:c>
      <x:c r="K108" s="18" t="str">
        <x:v>verified_musicbrainz</x:v>
      </x:c>
      <x:c r="L108" s="18" t="str">
        <x:v>https://musicbrainz.org/recording/05979dba-2d9e-443f-9525-f5dc76b826fa</x:v>
      </x:c>
      <x:c r="M108" s="18" t="str">
        <x:v>resolved_exact</x:v>
      </x:c>
      <x:c r="N108" s="18" t="str">
        <x:v>https://soundcloud.com/the_roots/what-they-do-2</x:v>
      </x:c>
      <x:c r="O108" s="18" t="n">
        <x:v>256248787</x:v>
      </x:c>
      <x:c r="P108" s="18" t="str">
        <x:v>the_roots</x:v>
      </x:c>
      <x:c r="Q108" s="18" t="n">
        <x:v>357251</x:v>
      </x:c>
      <x:c r="R108" s="18" t="str">
        <x:v>subscriber_catalog</x:v>
      </x:c>
      <x:c r="S108" s="18" t="str">
        <x:v>Structured SoundCloud catalog metadata matches artist, title, and intended unaltered version.</x:v>
      </x:c>
      <x:c r="T108" s="18" t="str">
        <x:v>track-107</x:v>
      </x:c>
      <x:c r="U108" s="18" t="str">
        <x:v>Confirmed Tom recognition anchor; representative may change</x:v>
      </x:c>
    </x:row>
    <x:row r="109">
      <x:c r="A109" s="18" t="n">
        <x:v>108</x:v>
      </x:c>
      <x:c r="B109" s="18" t="str">
        <x:v>HH07</x:v>
      </x:c>
      <x:c r="C109" s="18" t="n">
        <x:v>1998</x:v>
      </x:c>
      <x:c r="D109" s="18" t="str">
        <x:v>Black Star</x:v>
      </x:c>
      <x:c r="E109" s="18" t="str">
        <x:v>Definition</x:v>
      </x:c>
      <x:c r="F109" s="18" t="str">
        <x:v>original album version</x:v>
      </x:c>
      <x:c r="G109" s="18" t="str">
        <x:v>New York</x:v>
      </x:c>
      <x:c r="H109" s="18" t="str">
        <x:v>lyrical; community; anti-violence</x:v>
      </x:c>
      <x:c r="I109" s="18" t="str">
        <x:v>Lyrical community and anti-violence address</x:v>
      </x:c>
      <x:c r="J109" s="18" t="str">
        <x:v>selected_main_route</x:v>
      </x:c>
      <x:c r="K109" s="18" t="str">
        <x:v>verified_musicbrainz</x:v>
      </x:c>
      <x:c r="L109" s="18" t="str">
        <x:v>https://musicbrainz.org/recording/8f4c91c3-acc4-4c1f-83a2-e9e0ba06aedc</x:v>
      </x:c>
      <x:c r="M109" s="18" t="str">
        <x:v>resolved_exact</x:v>
      </x:c>
      <x:c r="N109" s="18" t="str">
        <x:v>https://soundcloud.com/black-star-official/definition</x:v>
      </x:c>
      <x:c r="O109" s="18" t="n">
        <x:v>252485639</x:v>
      </x:c>
      <x:c r="P109" s="18" t="str">
        <x:v>Black Star</x:v>
      </x:c>
      <x:c r="Q109" s="18" t="n">
        <x:v>206569</x:v>
      </x:c>
      <x:c r="R109" s="18" t="str">
        <x:v>subscriber_catalog</x:v>
      </x:c>
      <x:c r="S109" s="18" t="str">
        <x:v>Structured SoundCloud catalog metadata matches artist, title, and intended unaltered version.</x:v>
      </x:c>
      <x:c r="T109" s="18" t="str">
        <x:v>track-108</x:v>
      </x:c>
      <x:c r="U109" s="18" t="str">
        <x:v>Recognition prompt</x:v>
      </x:c>
    </x:row>
    <x:row r="110">
      <x:c r="A110" s="18" t="n">
        <x:v>109</x:v>
      </x:c>
      <x:c r="B110" s="18" t="str">
        <x:v>HH07</x:v>
      </x:c>
      <x:c r="C110" s="18" t="n">
        <x:v>2000</x:v>
      </x:c>
      <x:c r="D110" s="18" t="str">
        <x:v>dead prez</x:v>
      </x:c>
      <x:c r="E110" s="18" t="str">
        <x:v>Hip-Hop</x:v>
      </x:c>
      <x:c r="F110" s="18" t="str">
        <x:v>original Let's Get Free album version</x:v>
      </x:c>
      <x:c r="G110" s="18" t="str">
        <x:v>New York</x:v>
      </x:c>
      <x:c r="H110" s="18" t="str">
        <x:v>political; bass; critique</x:v>
      </x:c>
      <x:c r="I110" s="18" t="str">
        <x:v>Political critique delivered through severe low-end economy</x:v>
      </x:c>
      <x:c r="J110" s="18" t="str">
        <x:v>selected_main_route</x:v>
      </x:c>
      <x:c r="K110" s="18" t="str">
        <x:v>verified_musicbrainz</x:v>
      </x:c>
      <x:c r="L110" s="18" t="str">
        <x:v>https://musicbrainz.org/recording/ce7f367e-bc2f-4759-83d5-ff607b26b60e</x:v>
      </x:c>
      <x:c r="M110" s="18" t="str">
        <x:v>resolved_exact</x:v>
      </x:c>
      <x:c r="N110" s="18" t="str">
        <x:v>https://soundcloud.com/dead-prez-official/hip-hop-1</x:v>
      </x:c>
      <x:c r="O110" s="18" t="n">
        <x:v>253512663</x:v>
      </x:c>
      <x:c r="P110" s="18" t="str">
        <x:v>Dead Prez</x:v>
      </x:c>
      <x:c r="Q110" s="18" t="n">
        <x:v>214100</x:v>
      </x:c>
      <x:c r="R110" s="18" t="str">
        <x:v>subscriber_catalog</x:v>
      </x:c>
      <x:c r="S110" s="18" t="str">
        <x:v>Structured SoundCloud catalog metadata matches artist, title, and intended unaltered version.</x:v>
      </x:c>
      <x:c r="T110" s="18" t="str">
        <x:v>track-109</x:v>
      </x:c>
      <x:c r="U110" s="18" t="str">
        <x:v>Recognition prompt</x:v>
      </x:c>
    </x:row>
    <x:row r="111">
      <x:c r="A111" s="18" t="n">
        <x:v>110</x:v>
      </x:c>
      <x:c r="B111" s="18" t="str">
        <x:v>HH07</x:v>
      </x:c>
      <x:c r="C111" s="18" t="n">
        <x:v>1998</x:v>
      </x:c>
      <x:c r="D111" s="18" t="str">
        <x:v>Lauryn Hill</x:v>
      </x:c>
      <x:c r="E111" s="18" t="str">
        <x:v>Lost Ones</x:v>
      </x:c>
      <x:c r="F111" s="18" t="str">
        <x:v>original Miseducation album version</x:v>
      </x:c>
      <x:c r="G111" s="18" t="str">
        <x:v>New Jersey</x:v>
      </x:c>
      <x:c r="H111" s="18" t="str">
        <x:v>women; battle; singer-MC</x:v>
      </x:c>
      <x:c r="I111" s="18" t="str">
        <x:v>Battle address arrangement and singer-MC authorship</x:v>
      </x:c>
      <x:c r="J111" s="18" t="str">
        <x:v>selected_main_route</x:v>
      </x:c>
      <x:c r="K111" s="18" t="str">
        <x:v>verified_musicbrainz</x:v>
      </x:c>
      <x:c r="L111" s="18" t="str">
        <x:v>https://musicbrainz.org/recording/09ddbb79-4fec-468d-b300-aa1f95f837c0</x:v>
      </x:c>
      <x:c r="M111" s="18" t="str">
        <x:v>resolved_exact</x:v>
      </x:c>
      <x:c r="N111" s="18" t="str">
        <x:v>https://soundcloud.com/lauryn-hill-official/lost-ones</x:v>
      </x:c>
      <x:c r="O111" s="18" t="n">
        <x:v>253540130</x:v>
      </x:c>
      <x:c r="P111" s="18" t="str">
        <x:v>Lauryn Hill</x:v>
      </x:c>
      <x:c r="Q111" s="18" t="n">
        <x:v>334237</x:v>
      </x:c>
      <x:c r="R111" s="18" t="str">
        <x:v>subscriber_catalog</x:v>
      </x:c>
      <x:c r="S111" s="18" t="str">
        <x:v>Structured SoundCloud catalog metadata matches artist, title, and intended unaltered version.</x:v>
      </x:c>
      <x:c r="T111" s="18" t="str">
        <x:v>track-110</x:v>
      </x:c>
      <x:c r="U111" s="18" t="str">
        <x:v>Canonical</x:v>
      </x:c>
    </x:row>
    <x:row r="112">
      <x:c r="A112" s="18" t="n">
        <x:v>111</x:v>
      </x:c>
      <x:c r="B112" s="18" t="str">
        <x:v>HH07</x:v>
      </x:c>
      <x:c r="C112" s="18" t="n">
        <x:v>1997</x:v>
      </x:c>
      <x:c r="D112" s="18" t="str">
        <x:v>Missy Elliott</x:v>
      </x:c>
      <x:c r="E112" s="18" t="str">
        <x:v>The Rain (Supa Dupa Fly)</x:v>
      </x:c>
      <x:c r="F112" s="18" t="str">
        <x:v>original album version</x:v>
      </x:c>
      <x:c r="G112" s="18" t="str">
        <x:v>Virginia</x:v>
      </x:c>
      <x:c r="H112" s="18" t="str">
        <x:v>women; Timbaland; experimental-pop</x:v>
      </x:c>
      <x:c r="I112" s="18" t="str">
        <x:v>Timbre negative space video imagination and producer-MC partnership</x:v>
      </x:c>
      <x:c r="J112" s="18" t="str">
        <x:v>selected_main_route</x:v>
      </x:c>
      <x:c r="K112" s="18" t="str">
        <x:v>verified_musicbrainz</x:v>
      </x:c>
      <x:c r="L112" s="18" t="str">
        <x:v>https://musicbrainz.org/recording/8f6eecdb-9508-4276-b7df-9e6b12fe8011</x:v>
      </x:c>
      <x:c r="M112" s="18" t="str">
        <x:v>resolved_exact</x:v>
      </x:c>
      <x:c r="N112" s="18" t="str">
        <x:v>https://soundcloud.com/missyelliott/the-rain-supa-dupa-fly</x:v>
      </x:c>
      <x:c r="O112" s="18" t="n">
        <x:v>255814649</x:v>
      </x:c>
      <x:c r="P112" s="18" t="str">
        <x:v>Missy Elliott</x:v>
      </x:c>
      <x:c r="Q112" s="18" t="n">
        <x:v>251037</x:v>
      </x:c>
      <x:c r="R112" s="18" t="str">
        <x:v>open_or_monetized</x:v>
      </x:c>
      <x:c r="S112" s="18" t="str">
        <x:v>Structured SoundCloud catalog metadata matches artist, title, and intended unaltered version.</x:v>
      </x:c>
      <x:c r="T112" s="18" t="str">
        <x:v>track-111</x:v>
      </x:c>
      <x:c r="U112" s="18" t="str">
        <x:v>Canonical</x:v>
      </x:c>
    </x:row>
    <x:row r="113">
      <x:c r="A113" s="18" t="n">
        <x:v>112</x:v>
      </x:c>
      <x:c r="B113" s="18" t="str">
        <x:v>HH07</x:v>
      </x:c>
      <x:c r="C113" s="18" t="n">
        <x:v>2000</x:v>
      </x:c>
      <x:c r="D113" s="18" t="str">
        <x:v>Eminem featuring Dido</x:v>
      </x:c>
      <x:c r="E113" s="18" t="str">
        <x:v>Stan</x:v>
      </x:c>
      <x:c r="F113" s="18" t="str">
        <x:v>original The Marshall Mathers LP album version</x:v>
      </x:c>
      <x:c r="G113" s="18" t="str">
        <x:v>Detroit</x:v>
      </x:c>
      <x:c r="H113" s="18" t="str">
        <x:v>narrative; correspondence; celebrity</x:v>
      </x:c>
      <x:c r="I113" s="18" t="str">
        <x:v>Epistolary narrative unreliable interpretation and fan-artist distance</x:v>
      </x:c>
      <x:c r="J113" s="18" t="str">
        <x:v>selected_main_route</x:v>
      </x:c>
      <x:c r="K113" s="18" t="str">
        <x:v>verified_soundcloud_catalog</x:v>
      </x:c>
      <x:c r="L113" s="18" t="str">
        <x:v>https://soundcloud.com/eminemofficial/stan-album-version-explicit</x:v>
      </x:c>
      <x:c r="M113" s="18" t="str">
        <x:v>resolved_exact</x:v>
      </x:c>
      <x:c r="N113" s="18" t="str">
        <x:v>https://soundcloud.com/eminemofficial/stan-album-version-explicit</x:v>
      </x:c>
      <x:c r="O113" s="18" t="n">
        <x:v>256256955</x:v>
      </x:c>
      <x:c r="P113" s="18" t="str">
        <x:v>Eminem</x:v>
      </x:c>
      <x:c r="Q113" s="18" t="n">
        <x:v>404140</x:v>
      </x:c>
      <x:c r="R113" s="18" t="str">
        <x:v>open_or_monetized</x:v>
      </x:c>
      <x:c r="S113" s="18" t="str">
        <x:v>Structured SoundCloud catalog metadata matches artist, title, and intended unaltered version.</x:v>
      </x:c>
      <x:c r="T113" s="18" t="str">
        <x:v>track-112</x:v>
      </x:c>
      <x:c r="U113" s="18" t="str">
        <x:v>Contextualize misogyny and later cultural shorthand</x:v>
      </x:c>
    </x:row>
    <x:row r="114">
      <x:c r="A114" s="18" t="n">
        <x:v>113</x:v>
      </x:c>
      <x:c r="B114" s="18" t="str">
        <x:v>HH07</x:v>
      </x:c>
      <x:c r="C114" s="18" t="n">
        <x:v>1997</x:v>
      </x:c>
      <x:c r="D114" s="18" t="str">
        <x:v>Company Flow</x:v>
      </x:c>
      <x:c r="E114" s="18" t="str">
        <x:v>8 Steps to Perfection</x:v>
      </x:c>
      <x:c r="F114" s="18" t="str">
        <x:v>original Funcrusher Plus version</x:v>
      </x:c>
      <x:c r="G114" s="18" t="str">
        <x:v>New York</x:v>
      </x:c>
      <x:c r="H114" s="18" t="str">
        <x:v>independent; underground; experimental</x:v>
      </x:c>
      <x:c r="I114" s="18" t="str">
        <x:v>Independent-label counterpublic and abrasive abstraction</x:v>
      </x:c>
      <x:c r="J114" s="18" t="str">
        <x:v>selected_main_route</x:v>
      </x:c>
      <x:c r="K114" s="18" t="str">
        <x:v>verified_musicbrainz</x:v>
      </x:c>
      <x:c r="L114" s="18" t="str">
        <x:v>https://musicbrainz.org/recording/8ddc4048-0f83-47fb-bd1f-d86b636a218f</x:v>
      </x:c>
      <x:c r="M114" s="18" t="str">
        <x:v>resolved_exact</x:v>
      </x:c>
      <x:c r="N114" s="18" t="str">
        <x:v>https://soundcloud.com/papa-sensi/8-steps-to-perfection-better</x:v>
      </x:c>
      <x:c r="O114" s="18" t="n">
        <x:v>437807430</x:v>
      </x:c>
      <x:c r="P114" s="18" t="str">
        <x:v>Papa Sensi</x:v>
      </x:c>
      <x:c r="Q114" s="18" t="n">
        <x:v>281365</x:v>
      </x:c>
      <x:c r="R114" s="18" t="str">
        <x:v>open_or_monetized</x:v>
      </x:c>
      <x:c r="S114" s="18" t="str">
        <x:v>Structured SoundCloud catalog metadata matches artist, title, and intended unaltered version.</x:v>
      </x:c>
      <x:c r="T114" s="18" t="str">
        <x:v>track-113</x:v>
      </x:c>
      <x:c r="U114" s="18" t="str">
        <x:v>Deep-route anchor</x:v>
      </x:c>
    </x:row>
    <x:row r="115">
      <x:c r="A115" s="18" t="n">
        <x:v>114</x:v>
      </x:c>
      <x:c r="B115" s="18" t="str">
        <x:v>HH07</x:v>
      </x:c>
      <x:c r="C115" s="18" t="n">
        <x:v>1999</x:v>
      </x:c>
      <x:c r="D115" s="18" t="str">
        <x:v>Mos Def</x:v>
      </x:c>
      <x:c r="E115" s="18" t="str">
        <x:v>Mathematics</x:v>
      </x:c>
      <x:c r="F115" s="18" t="str">
        <x:v>original Black on Both Sides album version</x:v>
      </x:c>
      <x:c r="G115" s="18" t="str">
        <x:v>New York</x:v>
      </x:c>
      <x:c r="H115" s="18" t="str">
        <x:v>political; lyrical; DJ-Premier</x:v>
      </x:c>
      <x:c r="I115" s="18" t="str">
        <x:v>Numerical political litany and boom-bap craft</x:v>
      </x:c>
      <x:c r="J115" s="18" t="str">
        <x:v>selected_main_route</x:v>
      </x:c>
      <x:c r="K115" s="18" t="str">
        <x:v>verified_musicbrainz</x:v>
      </x:c>
      <x:c r="L115" s="18" t="str">
        <x:v>https://musicbrainz.org/recording/8b2b74e0-4b7b-436e-9550-49f04f6b88d3</x:v>
      </x:c>
      <x:c r="M115" s="18" t="str">
        <x:v>resolved_exact</x:v>
      </x:c>
      <x:c r="N115" s="18" t="str">
        <x:v>https://soundcloud.com/mos-def-official/mathematics</x:v>
      </x:c>
      <x:c r="O115" s="18" t="n">
        <x:v>253524881</x:v>
      </x:c>
      <x:c r="P115" s="18" t="str">
        <x:v>Mos Def</x:v>
      </x:c>
      <x:c r="Q115" s="18" t="n">
        <x:v>246540</x:v>
      </x:c>
      <x:c r="R115" s="18" t="str">
        <x:v>subscriber_catalog</x:v>
      </x:c>
      <x:c r="S115" s="18" t="str">
        <x:v>Structured SoundCloud catalog metadata matches artist, title, and intended unaltered version.</x:v>
      </x:c>
      <x:c r="T115" s="18" t="str">
        <x:v>track-114</x:v>
      </x:c>
      <x:c r="U115" s="18" t="str">
        <x:v>Likely Tom route</x:v>
      </x:c>
    </x:row>
    <x:row r="116">
      <x:c r="A116" s="18" t="n">
        <x:v>115</x:v>
      </x:c>
      <x:c r="B116" s="18" t="str">
        <x:v>HH07</x:v>
      </x:c>
      <x:c r="C116" s="18" t="n">
        <x:v>1999</x:v>
      </x:c>
      <x:c r="D116" s="18" t="str">
        <x:v>MF DOOM</x:v>
      </x:c>
      <x:c r="E116" s="18" t="str">
        <x:v>Doomsday</x:v>
      </x:c>
      <x:c r="F116" s="18" t="str">
        <x:v>original Operation: Doomsday version</x:v>
      </x:c>
      <x:c r="G116" s="18" t="str">
        <x:v>New York</x:v>
      </x:c>
      <x:c r="H116" s="18" t="str">
        <x:v>abstract; persona; independent</x:v>
      </x:c>
      <x:c r="I116" s="18" t="str">
        <x:v>Mask persona collage humor and independent rebirth</x:v>
      </x:c>
      <x:c r="J116" s="18" t="str">
        <x:v>selected_main_route</x:v>
      </x:c>
      <x:c r="K116" s="18" t="str">
        <x:v>verified_musicbrainz</x:v>
      </x:c>
      <x:c r="L116" s="18" t="str">
        <x:v>https://musicbrainz.org/recording/2356e949-f493-4911-afb1-de0d470b51dc</x:v>
      </x:c>
      <x:c r="M116" s="18" t="str">
        <x:v>resolved_exact</x:v>
      </x:c>
      <x:c r="N116" s="18" t="str">
        <x:v>https://soundcloud.com/mf-doom-official/doomsday</x:v>
      </x:c>
      <x:c r="O116" s="18" t="n">
        <x:v>300793387</x:v>
      </x:c>
      <x:c r="P116" s="18" t="str">
        <x:v>MF Doom</x:v>
      </x:c>
      <x:c r="Q116" s="18" t="n">
        <x:v>298162</x:v>
      </x:c>
      <x:c r="R116" s="18" t="str">
        <x:v>subscriber_catalog</x:v>
      </x:c>
      <x:c r="S116" s="18" t="str">
        <x:v>Structured SoundCloud catalog metadata matches artist, title, and intended unaltered version.</x:v>
      </x:c>
      <x:c r="T116" s="18" t="str">
        <x:v>track-115</x:v>
      </x:c>
      <x:c r="U116" s="18" t="str">
        <x:v>Original Fondle 'Em master preferred</x:v>
      </x:c>
    </x:row>
    <x:row r="117">
      <x:c r="A117" s="18" t="n">
        <x:v>116</x:v>
      </x:c>
      <x:c r="B117" s="18" t="str">
        <x:v>HH07</x:v>
      </x:c>
      <x:c r="C117" s="18" t="n">
        <x:v>2000</x:v>
      </x:c>
      <x:c r="D117" s="18" t="str">
        <x:v>Rah Digga</x:v>
      </x:c>
      <x:c r="E117" s="18" t="str">
        <x:v>Tight</x:v>
      </x:c>
      <x:c r="F117" s="18" t="str">
        <x:v>original Dirty Harriet album version</x:v>
      </x:c>
      <x:c r="G117" s="18" t="str">
        <x:v>New Jersey / New York</x:v>
      </x:c>
      <x:c r="H117" s="18" t="str">
        <x:v>women; lyrical; Flipmode</x:v>
      </x:c>
      <x:c r="I117" s="18" t="str">
        <x:v>Technical woman MC authority inside late-1990s crew and album systems</x:v>
      </x:c>
      <x:c r="J117" s="18" t="str">
        <x:v>selected_main_route</x:v>
      </x:c>
      <x:c r="K117" s="18" t="str">
        <x:v>verified_musicbrainz</x:v>
      </x:c>
      <x:c r="L117" s="18" t="str">
        <x:v>https://musicbrainz.org/recording/1f653804-8699-48f5-94f6-1a465f78b0ee</x:v>
      </x:c>
      <x:c r="M117" s="18" t="str">
        <x:v>resolved_exact</x:v>
      </x:c>
      <x:c r="N117" s="18" t="str">
        <x:v>https://soundcloud.com/rah-digga-official/tight-original-version</x:v>
      </x:c>
      <x:c r="O117" s="18" t="n">
        <x:v>254200504</x:v>
      </x:c>
      <x:c r="P117" s="18" t="str">
        <x:v>Rah Digga</x:v>
      </x:c>
      <x:c r="Q117" s="18" t="n">
        <x:v>194342</x:v>
      </x:c>
      <x:c r="R117" s="18" t="str">
        <x:v>subscriber_catalog</x:v>
      </x:c>
      <x:c r="S117" s="18" t="str">
        <x:v>Structured SoundCloud catalog metadata matches artist, title, and intended unaltered version.</x:v>
      </x:c>
      <x:c r="T117" s="18" t="str">
        <x:v>track-116</x:v>
      </x:c>
      <x:c r="U117" s="18" t="str">
        <x:v>Version verify</x:v>
      </x:c>
    </x:row>
    <x:row r="118">
      <x:c r="A118" s="18" t="n">
        <x:v>117</x:v>
      </x:c>
      <x:c r="B118" s="18" t="str">
        <x:v>HH07</x:v>
      </x:c>
      <x:c r="C118" s="18" t="n">
        <x:v>1998</x:v>
      </x:c>
      <x:c r="D118" s="18" t="str">
        <x:v>Gang Starr</x:v>
      </x:c>
      <x:c r="E118" s="18" t="str">
        <x:v>Moment of Truth</x:v>
      </x:c>
      <x:c r="F118" s="18" t="str">
        <x:v>original album version</x:v>
      </x:c>
      <x:c r="G118" s="18" t="str">
        <x:v>New York</x:v>
      </x:c>
      <x:c r="H118" s="18" t="str">
        <x:v>lyrical; boom-bap; reflection</x:v>
      </x:c>
      <x:c r="I118" s="18" t="str">
        <x:v>Mature moral reflection within a classic duo grammar</x:v>
      </x:c>
      <x:c r="J118" s="18" t="str">
        <x:v>selected_main_route</x:v>
      </x:c>
      <x:c r="K118" s="18" t="str">
        <x:v>verified_musicbrainz</x:v>
      </x:c>
      <x:c r="L118" s="18" t="str">
        <x:v>https://musicbrainz.org/recording/5286d7f4-6855-4b0a-abfd-ec402d5ec83e</x:v>
      </x:c>
      <x:c r="M118" s="18" t="str">
        <x:v>resolved_exact</x:v>
      </x:c>
      <x:c r="N118" s="18" t="str">
        <x:v>https://soundcloud.com/gang-starr-official/moment-of-truth</x:v>
      </x:c>
      <x:c r="O118" s="18" t="n">
        <x:v>253097242</x:v>
      </x:c>
      <x:c r="P118" s="18" t="str">
        <x:v>Gang Starr</x:v>
      </x:c>
      <x:c r="Q118" s="18" t="n">
        <x:v>247428</x:v>
      </x:c>
      <x:c r="R118" s="18" t="str">
        <x:v>subscriber_catalog</x:v>
      </x:c>
      <x:c r="S118" s="18" t="str">
        <x:v>Structured SoundCloud catalog metadata matches artist, title, and intended unaltered version.</x:v>
      </x:c>
      <x:c r="T118" s="18" t="str">
        <x:v>track-117</x:v>
      </x:c>
      <x:c r="U118" s="18" t="str">
        <x:v>Potential Tom anchor</x:v>
      </x:c>
    </x:row>
    <x:row r="119">
      <x:c r="A119" s="18" t="n">
        <x:v>118</x:v>
      </x:c>
      <x:c r="B119" s="18" t="str">
        <x:v>HH07</x:v>
      </x:c>
      <x:c r="C119" s="18" t="n">
        <x:v>1996</x:v>
      </x:c>
      <x:c r="D119" s="18" t="str">
        <x:v>DJ Shadow</x:v>
      </x:c>
      <x:c r="E119" s="18" t="str">
        <x:v>Midnight in a Perfect World</x:v>
      </x:c>
      <x:c r="F119" s="18" t="str">
        <x:v>original Endtroducing album version</x:v>
      </x:c>
      <x:c r="G119" s="18" t="str">
        <x:v>Bay Area</x:v>
      </x:c>
      <x:c r="H119" s="18" t="str">
        <x:v>instrumental; sampling; producer</x:v>
      </x:c>
      <x:c r="I119" s="18" t="str">
        <x:v>Instrumental hip-hop as album-scale emotional composition</x:v>
      </x:c>
      <x:c r="J119" s="18" t="str">
        <x:v>selected_main_route</x:v>
      </x:c>
      <x:c r="K119" s="18" t="str">
        <x:v>verified_musicbrainz</x:v>
      </x:c>
      <x:c r="L119" s="18" t="str">
        <x:v>https://musicbrainz.org/recording/c9ac422c-adc1-4411-86c2-9be463ec4b49</x:v>
      </x:c>
      <x:c r="M119" s="18" t="str">
        <x:v>resolved_exact</x:v>
      </x:c>
      <x:c r="N119" s="18" t="str">
        <x:v>https://soundcloud.com/djshadow/midnight-in-a-perfect-world-2</x:v>
      </x:c>
      <x:c r="O119" s="18" t="n">
        <x:v>255826054</x:v>
      </x:c>
      <x:c r="P119" s="18" t="str">
        <x:v>DJ Shadow</x:v>
      </x:c>
      <x:c r="Q119" s="18" t="n">
        <x:v>298527</x:v>
      </x:c>
      <x:c r="R119" s="18" t="str">
        <x:v>subscriber_catalog</x:v>
      </x:c>
      <x:c r="S119" s="18" t="str">
        <x:v>Structured SoundCloud catalog metadata matches artist, title, and intended unaltered version.</x:v>
      </x:c>
      <x:c r="T119" s="18" t="str">
        <x:v>track-118</x:v>
      </x:c>
      <x:c r="U119" s="18" t="str">
        <x:v>Canonical producer route</x:v>
      </x:c>
    </x:row>
    <x:row r="120">
      <x:c r="A120" s="18" t="n">
        <x:v>119</x:v>
      </x:c>
      <x:c r="B120" s="18" t="str">
        <x:v>HH07</x:v>
      </x:c>
      <x:c r="C120" s="18" t="n">
        <x:v>1996</x:v>
      </x:c>
      <x:c r="D120" s="18" t="str">
        <x:v>Invisibl Skratch Piklz</x:v>
      </x:c>
      <x:c r="E120" s="18" t="str">
        <x:v>Invasion of the Octopus People</x:v>
      </x:c>
      <x:c r="F120" s="18" t="str">
        <x:v>original version</x:v>
      </x:c>
      <x:c r="G120" s="18" t="str">
        <x:v>Bay Area</x:v>
      </x:c>
      <x:c r="H120" s="18" t="str">
        <x:v>turntablism; DJ; experimental</x:v>
      </x:c>
      <x:c r="I120" s="18" t="str">
        <x:v>Turntablism as foreground group composition</x:v>
      </x:c>
      <x:c r="J120" s="18" t="str">
        <x:v>selected_main_route</x:v>
      </x:c>
      <x:c r="K120" s="18" t="str">
        <x:v>verified_musicbrainz</x:v>
      </x:c>
      <x:c r="L120" s="18" t="str">
        <x:v>https://musicbrainz.org/recording/295ab76c-6e6b-4ba7-9281-233d84391f4d</x:v>
      </x:c>
      <x:c r="M120" s="18" t="str">
        <x:v>resolved_exact</x:v>
      </x:c>
      <x:c r="N120" s="18" t="str">
        <x:v>https://soundcloud.com/invisiblskratchpiklz/invasion-of-the-octopus-people</x:v>
      </x:c>
      <x:c r="O120" s="18" t="n">
        <x:v>758242822</x:v>
      </x:c>
      <x:c r="P120" s="18" t="str">
        <x:v>Invisibl Skratch Piklz</x:v>
      </x:c>
      <x:c r="Q120" s="18" t="n">
        <x:v>254642</x:v>
      </x:c>
      <x:c r="R120" s="18" t="str">
        <x:v>open_or_monetized</x:v>
      </x:c>
      <x:c r="S120" s="18" t="str">
        <x:v>Structured SoundCloud catalog metadata matches artist, title, and intended unaltered version.</x:v>
      </x:c>
      <x:c r="T120" s="18" t="str">
        <x:v>track-119</x:v>
      </x:c>
      <x:c r="U120" s="18" t="str">
        <x:v>Exact release metadata verify</x:v>
      </x:c>
    </x:row>
    <x:row r="121">
      <x:c r="A121" s="18" t="n">
        <x:v>120</x:v>
      </x:c>
      <x:c r="B121" s="18" t="str">
        <x:v>HH07</x:v>
      </x:c>
      <x:c r="C121" s="18" t="n">
        <x:v>1998</x:v>
      </x:c>
      <x:c r="D121" s="18" t="str">
        <x:v>DMX</x:v>
      </x:c>
      <x:c r="E121" s="18" t="str">
        <x:v>Ruff Ryders' Anthem</x:v>
      </x:c>
      <x:c r="F121" s="18" t="str">
        <x:v>original It's Dark and Hell Is Hot album version</x:v>
      </x:c>
      <x:c r="G121" s="18" t="str">
        <x:v>Yonkers / New York</x:v>
      </x:c>
      <x:c r="H121" s="18" t="str">
        <x:v>hardcore; Swizz-Beatz; crowd-command</x:v>
      </x:c>
      <x:c r="I121" s="18" t="str">
        <x:v>Austere synthesizer anthem and late-1990s street-rap intensity</x:v>
      </x:c>
      <x:c r="J121" s="18" t="str">
        <x:v>selected_main_route</x:v>
      </x:c>
      <x:c r="K121" s="18" t="str">
        <x:v>verified_musicbrainz</x:v>
      </x:c>
      <x:c r="L121" s="18" t="str">
        <x:v>https://musicbrainz.org/recording/028434cd-6f5f-4781-acc5-0c62d69249dc</x:v>
      </x:c>
      <x:c r="M121" s="18" t="str">
        <x:v>resolved_exact</x:v>
      </x:c>
      <x:c r="N121" s="18" t="str">
        <x:v>https://soundcloud.com/dmx-music/ruff-ryders-anthem</x:v>
      </x:c>
      <x:c r="O121" s="18" t="n">
        <x:v>259102835</x:v>
      </x:c>
      <x:c r="P121" s="18" t="str">
        <x:v>DMX</x:v>
      </x:c>
      <x:c r="Q121" s="18" t="n">
        <x:v>214880</x:v>
      </x:c>
      <x:c r="R121" s="18" t="str">
        <x:v>open_or_monetized</x:v>
      </x:c>
      <x:c r="S121" s="18" t="str">
        <x:v>Structured SoundCloud catalog metadata matches artist, title, and intended unaltered version.</x:v>
      </x:c>
      <x:c r="T121" s="18" t="str">
        <x:v>track-120</x:v>
      </x:c>
      <x:c r="U121" s="18" t="str">
        <x:v>Album master verify</x:v>
      </x:c>
    </x:row>
    <x:row r="122">
      <x:c r="A122" s="18" t="n">
        <x:v>121</x:v>
      </x:c>
      <x:c r="B122" s="18" t="str">
        <x:v>HH07</x:v>
      </x:c>
      <x:c r="C122" s="18" t="n">
        <x:v>1998</x:v>
      </x:c>
      <x:c r="D122" s="18" t="str">
        <x:v>Outkast</x:v>
      </x:c>
      <x:c r="E122" s="18" t="str">
        <x:v>Rosa Parks</x:v>
      </x:c>
      <x:c r="F122" s="18" t="str">
        <x:v>original Aquemini album version</x:v>
      </x:c>
      <x:c r="G122" s="18" t="str">
        <x:v>Atlanta</x:v>
      </x:c>
      <x:c r="H122" s="18" t="str">
        <x:v>Southern; live-instruments; form</x:v>
      </x:c>
      <x:c r="I122" s="18" t="str">
        <x:v>Sectional arrangement harmonica and Atlanta expansion</x:v>
      </x:c>
      <x:c r="J122" s="18" t="str">
        <x:v>selected_main_route</x:v>
      </x:c>
      <x:c r="K122" s="18" t="str">
        <x:v>verified_musicbrainz</x:v>
      </x:c>
      <x:c r="L122" s="18" t="str">
        <x:v>https://musicbrainz.org/recording/36a71e33-e626-4233-9e6b-50585b91296b</x:v>
      </x:c>
      <x:c r="M122" s="18" t="str">
        <x:v>resolved_exact</x:v>
      </x:c>
      <x:c r="N122" s="18" t="str">
        <x:v>https://soundcloud.com/outkast-music/rosa-parks-2</x:v>
      </x:c>
      <x:c r="O122" s="18" t="n">
        <x:v>253851166</x:v>
      </x:c>
      <x:c r="P122" s="18" t="str">
        <x:v>Outkast</x:v>
      </x:c>
      <x:c r="Q122" s="18" t="n">
        <x:v>324415</x:v>
      </x:c>
      <x:c r="R122" s="18" t="str">
        <x:v>subscriber_catalog</x:v>
      </x:c>
      <x:c r="S122" s="18" t="str">
        <x:v>Structured SoundCloud catalog metadata matches artist, title, and intended unaltered version.</x:v>
      </x:c>
      <x:c r="T122" s="18" t="str">
        <x:v>track-121</x:v>
      </x:c>
      <x:c r="U122" s="18" t="str">
        <x:v>Canonical</x:v>
      </x:c>
    </x:row>
    <x:row r="123">
      <x:c r="A123" s="18" t="n">
        <x:v>122</x:v>
      </x:c>
      <x:c r="B123" s="18" t="str">
        <x:v>HH07</x:v>
      </x:c>
      <x:c r="C123" s="18" t="n">
        <x:v>1998</x:v>
      </x:c>
      <x:c r="D123" s="18" t="str">
        <x:v>Juvenile</x:v>
      </x:c>
      <x:c r="E123" s="18" t="str">
        <x:v>Ha</x:v>
      </x:c>
      <x:c r="F123" s="18" t="str">
        <x:v>original 400 Degreez album version</x:v>
      </x:c>
      <x:c r="G123" s="18" t="str">
        <x:v>New Orleans</x:v>
      </x:c>
      <x:c r="H123" s="18" t="str">
        <x:v>Cash-Money; Mannie-Fresh; flow</x:v>
      </x:c>
      <x:c r="I123" s="18" t="str">
        <x:v>Second-person repetition and New Orleans producer system</x:v>
      </x:c>
      <x:c r="J123" s="18" t="str">
        <x:v>selected_main_route</x:v>
      </x:c>
      <x:c r="K123" s="18" t="str">
        <x:v>verified_musicbrainz</x:v>
      </x:c>
      <x:c r="L123" s="18" t="str">
        <x:v>https://musicbrainz.org/recording/062e3ca3-1807-4bea-97f6-08afcf1ef10f</x:v>
      </x:c>
      <x:c r="M123" s="18" t="str">
        <x:v>resolved_exact</x:v>
      </x:c>
      <x:c r="N123" s="18" t="str">
        <x:v>https://soundcloud.com/juvenileofficial/ha-album-version-explicit</x:v>
      </x:c>
      <x:c r="O123" s="18" t="n">
        <x:v>256029567</x:v>
      </x:c>
      <x:c r="P123" s="18" t="str">
        <x:v>Juvenile</x:v>
      </x:c>
      <x:c r="Q123" s="18" t="n">
        <x:v>292415</x:v>
      </x:c>
      <x:c r="R123" s="18" t="str">
        <x:v>subscriber_catalog</x:v>
      </x:c>
      <x:c r="S123" s="18" t="str">
        <x:v>Structured SoundCloud catalog metadata matches artist, title, and intended unaltered version.</x:v>
      </x:c>
      <x:c r="T123" s="18" t="str">
        <x:v>track-122</x:v>
      </x:c>
      <x:c r="U123" s="18" t="str">
        <x:v>Canonical</x:v>
      </x:c>
    </x:row>
    <x:row r="124">
      <x:c r="A124" s="18" t="n">
        <x:v>123</x:v>
      </x:c>
      <x:c r="B124" s="18" t="str">
        <x:v>HH07</x:v>
      </x:c>
      <x:c r="C124" s="18" t="n">
        <x:v>1997</x:v>
      </x:c>
      <x:c r="D124" s="18" t="str">
        <x:v>Master P featuring Fiend Mia X Mystikal and Silkk the Shocker</x:v>
      </x:c>
      <x:c r="E124" s="18" t="str">
        <x:v>Make 'Em Say Uhh!</x:v>
      </x:c>
      <x:c r="F124" s="18" t="str">
        <x:v>original Ghetto D album version</x:v>
      </x:c>
      <x:c r="G124" s="18" t="str">
        <x:v>New Orleans</x:v>
      </x:c>
      <x:c r="H124" s="18" t="str">
        <x:v>No-Limit; independent-business; posse-cut</x:v>
      </x:c>
      <x:c r="I124" s="18" t="str">
        <x:v>No Limit's regional business system and roster-centered anthem</x:v>
      </x:c>
      <x:c r="J124" s="18" t="str">
        <x:v>selected_main_route</x:v>
      </x:c>
      <x:c r="K124" s="18" t="str">
        <x:v>verified_soundcloud_catalog</x:v>
      </x:c>
      <x:c r="L124" s="18" t="str">
        <x:v>https://soundcloud.com/master-p-official/make-em-say-ugh-2005-digital</x:v>
      </x:c>
      <x:c r="M124" s="18" t="str">
        <x:v>resolved_exact</x:v>
      </x:c>
      <x:c r="N124" s="18" t="str">
        <x:v>https://soundcloud.com/master-p-official/make-em-say-ugh-2005-digital</x:v>
      </x:c>
      <x:c r="O124" s="18" t="n">
        <x:v>253613694</x:v>
      </x:c>
      <x:c r="P124" s="18" t="str">
        <x:v>Master p</x:v>
      </x:c>
      <x:c r="Q124" s="18" t="n">
        <x:v>306391</x:v>
      </x:c>
      <x:c r="R124" s="18" t="str">
        <x:v>subscriber_catalog</x:v>
      </x:c>
      <x:c r="S124" s="18" t="str">
        <x:v>Structured SoundCloud catalog metadata matches artist, title, and intended unaltered version.</x:v>
      </x:c>
      <x:c r="T124" s="18" t="str">
        <x:v>track-123</x:v>
      </x:c>
      <x:c r="U124" s="18" t="str">
        <x:v>Full feature credits and punctuation verify</x:v>
      </x:c>
    </x:row>
    <x:row r="125">
      <x:c r="A125" s="18" t="n">
        <x:v>124</x:v>
      </x:c>
      <x:c r="B125" s="18" t="str">
        <x:v>HH07</x:v>
      </x:c>
      <x:c r="C125" s="18" t="n">
        <x:v>1997</x:v>
      </x:c>
      <x:c r="D125" s="18" t="str">
        <x:v>IAM</x:v>
      </x:c>
      <x:c r="E125" s="18" t="str">
        <x:v>Demain c'est loin</x:v>
      </x:c>
      <x:c r="F125" s="18" t="str">
        <x:v>original L'École du micro d'argent album version</x:v>
      </x:c>
      <x:c r="G125" s="18" t="str">
        <x:v>Marseille / France</x:v>
      </x:c>
      <x:c r="H125" s="18" t="str">
        <x:v>French-rap; long-form; social-reportage</x:v>
      </x:c>
      <x:c r="I125" s="18" t="str">
        <x:v>Long-form social panorama without conventional chorus</x:v>
      </x:c>
      <x:c r="J125" s="18" t="str">
        <x:v>selected_main_route</x:v>
      </x:c>
      <x:c r="K125" s="18" t="str">
        <x:v>verified_musicbrainz</x:v>
      </x:c>
      <x:c r="L125" s="18" t="str">
        <x:v>https://musicbrainz.org/recording/f1e5c309-cbf9-41a1-841f-9b166ed01176</x:v>
      </x:c>
      <x:c r="M125" s="18" t="str">
        <x:v>resolved_exact</x:v>
      </x:c>
      <x:c r="N125" s="18" t="str">
        <x:v>https://soundcloud.com/iam-74571/demain-cest-loin</x:v>
      </x:c>
      <x:c r="O125" s="18" t="n">
        <x:v>254897783</x:v>
      </x:c>
      <x:c r="P125" s="18" t="str">
        <x:v>IAM</x:v>
      </x:c>
      <x:c r="Q125" s="18" t="n">
        <x:v>540500</x:v>
      </x:c>
      <x:c r="R125" s="18" t="str">
        <x:v>subscriber_catalog</x:v>
      </x:c>
      <x:c r="S125" s="18" t="str">
        <x:v>Structured SoundCloud catalog metadata matches artist, title, and intended unaltered version.</x:v>
      </x:c>
      <x:c r="T125" s="18" t="str">
        <x:v>track-124</x:v>
      </x:c>
      <x:c r="U125" s="18" t="str">
        <x:v>Connoisseur anchor</x:v>
      </x:c>
    </x:row>
    <x:row r="126">
      <x:c r="A126" s="18" t="n">
        <x:v>125</x:v>
      </x:c>
      <x:c r="B126" s="18" t="str">
        <x:v>HH07</x:v>
      </x:c>
      <x:c r="C126" s="18" t="n">
        <x:v>1997</x:v>
      </x:c>
      <x:c r="D126" s="18" t="str">
        <x:v>Control Machete</x:v>
      </x:c>
      <x:c r="E126" s="18" t="str">
        <x:v>¿Comprendes Mendes?</x:v>
      </x:c>
      <x:c r="F126" s="18" t="str">
        <x:v>original Mucho Barato version</x:v>
      </x:c>
      <x:c r="G126" s="18" t="str">
        <x:v>Monterrey / Mexico</x:v>
      </x:c>
      <x:c r="H126" s="18" t="str">
        <x:v>Mexican-rap; Spanish-language; rock-exchange</x:v>
      </x:c>
      <x:c r="I126" s="18" t="str">
        <x:v>Northern Mexican scene identity and Spanish-language rhythmic force</x:v>
      </x:c>
      <x:c r="J126" s="18" t="str">
        <x:v>selected_main_route</x:v>
      </x:c>
      <x:c r="K126" s="18" t="str">
        <x:v>verified_musicbrainz</x:v>
      </x:c>
      <x:c r="L126" s="18" t="str">
        <x:v>https://musicbrainz.org/recording/27d6059e-3ece-4cb7-ae99-008525c0e0d3</x:v>
      </x:c>
      <x:c r="M126" s="18" t="str">
        <x:v>resolved_exact</x:v>
      </x:c>
      <x:c r="N126" s="18" t="str">
        <x:v>https://soundcloud.com/control-machete/comprendes-mendes-album</x:v>
      </x:c>
      <x:c r="O126" s="18" t="n">
        <x:v>252405344</x:v>
      </x:c>
      <x:c r="P126" s="18" t="str">
        <x:v>Control Machete</x:v>
      </x:c>
      <x:c r="Q126" s="18" t="n">
        <x:v>215301</x:v>
      </x:c>
      <x:c r="R126" s="18" t="str">
        <x:v>subscriber_catalog</x:v>
      </x:c>
      <x:c r="S126" s="18" t="str">
        <x:v>Structured SoundCloud catalog metadata matches artist, title, and intended unaltered version.</x:v>
      </x:c>
      <x:c r="T126" s="18" t="str">
        <x:v>track-125</x:v>
      </x:c>
      <x:c r="U126" s="18" t="str">
        <x:v>Punctuation and version verify</x:v>
      </x:c>
    </x:row>
    <x:row r="127">
      <x:c r="A127" s="18" t="n">
        <x:v>126</x:v>
      </x:c>
      <x:c r="B127" s="18" t="str">
        <x:v>HH07</x:v>
      </x:c>
      <x:c r="C127" s="18" t="n">
        <x:v>1997</x:v>
      </x:c>
      <x:c r="D127" s="18" t="str">
        <x:v>Racionais MC's</x:v>
      </x:c>
      <x:c r="E127" s="18" t="str">
        <x:v>Diário de um Detento</x:v>
      </x:c>
      <x:c r="F127" s="18" t="str">
        <x:v>original Sobrevivendo no Inferno version</x:v>
      </x:c>
      <x:c r="G127" s="18" t="str">
        <x:v>São Paulo / Brazil</x:v>
      </x:c>
      <x:c r="H127" s="18" t="str">
        <x:v>Brazilian-rap; prison; political</x:v>
      </x:c>
      <x:c r="I127" s="18" t="str">
        <x:v>Carandiru prison narrative and collective memory</x:v>
      </x:c>
      <x:c r="J127" s="18" t="str">
        <x:v>selected_main_route</x:v>
      </x:c>
      <x:c r="K127" s="18" t="str">
        <x:v>verified_musicbrainz</x:v>
      </x:c>
      <x:c r="L127" s="18" t="str">
        <x:v>https://musicbrainz.org/recording/dbc666ac-c002-41c9-ad55-be873427ab63</x:v>
      </x:c>
      <x:c r="M127" s="18" t="str">
        <x:v>resolved_exact_unofficial</x:v>
      </x:c>
      <x:c r="N127" s="18" t="str">
        <x:v>https://soundcloud.com/racionais-mcs-todasmusicas/racionais-mcs-diario-de-um-detento</x:v>
      </x:c>
      <x:c r="O127" s="18" t="n">
        <x:v>262842670</x:v>
      </x:c>
      <x:c r="P127" s="18" t="str">
        <x:v>Racionais MC's</x:v>
      </x:c>
      <x:c r="Q127" s="18" t="n">
        <x:v>451071</x:v>
      </x:c>
      <x:c r="R127" s="18" t="str">
        <x:v>open_or_monetized</x:v>
      </x:c>
      <x:c r="S127" s="18" t="str">
        <x:v>Full-length album recording; shorter and live versions were rejected.</x:v>
      </x:c>
      <x:c r="T127" s="18" t="str">
        <x:v>track-126</x:v>
      </x:c>
      <x:c r="U127" s="18" t="str">
        <x:v>Context and translation notes required</x:v>
      </x:c>
    </x:row>
    <x:row r="128">
      <x:c r="A128" s="18" t="n">
        <x:v>127</x:v>
      </x:c>
      <x:c r="B128" s="18" t="str">
        <x:v>HH07</x:v>
      </x:c>
      <x:c r="C128" s="18" t="n">
        <x:v>1999</x:v>
      </x:c>
      <x:c r="D128" s="18" t="str">
        <x:v>Roots Manuva</x:v>
      </x:c>
      <x:c r="E128" s="18" t="str">
        <x:v>Juggle Tings Proper</x:v>
      </x:c>
      <x:c r="F128" s="18" t="str">
        <x:v>original Brand New Second Hand version</x:v>
      </x:c>
      <x:c r="G128" s="18" t="str">
        <x:v>London / United Kingdom</x:v>
      </x:c>
      <x:c r="H128" s="18" t="str">
        <x:v>UK-rap; Caribbean-British; bass</x:v>
      </x:c>
      <x:c r="I128" s="18" t="str">
        <x:v>Distinct British voice and bass-heavy production</x:v>
      </x:c>
      <x:c r="J128" s="18" t="str">
        <x:v>selected_main_route</x:v>
      </x:c>
      <x:c r="K128" s="18" t="str">
        <x:v>verified_musicbrainz</x:v>
      </x:c>
      <x:c r="L128" s="18" t="str">
        <x:v>https://musicbrainz.org/recording/c4035931-de17-4efe-8911-996912cbeee1</x:v>
      </x:c>
      <x:c r="M128" s="18" t="str">
        <x:v>resolved_exact</x:v>
      </x:c>
      <x:c r="N128" s="18" t="str">
        <x:v>https://soundcloud.com/roots-manuva/juggle-tings-proper</x:v>
      </x:c>
      <x:c r="O128" s="18" t="n">
        <x:v>689935549</x:v>
      </x:c>
      <x:c r="P128" s="18" t="str">
        <x:v>Roots Manuva</x:v>
      </x:c>
      <x:c r="Q128" s="18" t="n">
        <x:v>305868</x:v>
      </x:c>
      <x:c r="R128" s="18" t="str">
        <x:v>open_or_monetized</x:v>
      </x:c>
      <x:c r="S128" s="18" t="str">
        <x:v>Structured SoundCloud catalog metadata matches artist, title, and intended unaltered version.</x:v>
      </x:c>
      <x:c r="T128" s="18" t="str">
        <x:v>track-127</x:v>
      </x:c>
      <x:c r="U128" s="18" t="str">
        <x:v>Verify version</x:v>
      </x:c>
    </x:row>
    <x:row r="129">
      <x:c r="A129" s="18" t="n">
        <x:v>128</x:v>
      </x:c>
      <x:c r="B129" s="18" t="str">
        <x:v>HH07</x:v>
      </x:c>
      <x:c r="C129" s="18" t="n">
        <x:v>1997</x:v>
      </x:c>
      <x:c r="D129" s="18" t="str">
        <x:v>Positive Black Soul</x:v>
      </x:c>
      <x:c r="E129" s="18" t="str">
        <x:v>New York, Paris, Dakar</x:v>
      </x:c>
      <x:c r="F129" s="18" t="str">
        <x:v>original version</x:v>
      </x:c>
      <x:c r="G129" s="18" t="str">
        <x:v>Dakar / Senegal</x:v>
      </x:c>
      <x:c r="H129" s="18" t="str">
        <x:v>Senegalese-rap; transatlantic; bilingual</x:v>
      </x:c>
      <x:c r="I129" s="18" t="str">
        <x:v>Explicit two-city global circuit and local identity</x:v>
      </x:c>
      <x:c r="J129" s="18" t="str">
        <x:v>selected_main_route</x:v>
      </x:c>
      <x:c r="K129" s="18" t="str">
        <x:v>verified_soundcloud_catalog</x:v>
      </x:c>
      <x:c r="L129" s="18" t="str">
        <x:v>https://soundcloud.com/positiveblacksoulofficial/new-york-paris-dakar</x:v>
      </x:c>
      <x:c r="M129" s="18" t="str">
        <x:v>resolved_exact</x:v>
      </x:c>
      <x:c r="N129" s="18" t="str">
        <x:v>https://soundcloud.com/positiveblacksoulofficial/new-york-paris-dakar</x:v>
      </x:c>
      <x:c r="O129" s="18" t="n">
        <x:v>1290881746</x:v>
      </x:c>
      <x:c r="P129" s="18" t="str">
        <x:v>Positive Black Soul</x:v>
      </x:c>
      <x:c r="Q129" s="18" t="n">
        <x:v>266971</x:v>
      </x:c>
      <x:c r="R129" s="18" t="str">
        <x:v>open_or_monetized</x:v>
      </x:c>
      <x:c r="S129" s="18" t="str">
        <x:v>Artist-catalog title corrects the provisional manifest's shortened title.</x:v>
      </x:c>
      <x:c r="T129" s="18" t="str">
        <x:v>track-128</x:v>
      </x:c>
      <x:c r="U129" s="18" t="str">
        <x:v>Exact release and language metadata verify</x:v>
      </x:c>
    </x:row>
    <x:row r="130">
      <x:c r="A130" s="18" t="n">
        <x:v>129</x:v>
      </x:c>
      <x:c r="B130" s="18" t="str">
        <x:v>HH08</x:v>
      </x:c>
      <x:c r="C130" s="18" t="n">
        <x:v>2001</x:v>
      </x:c>
      <x:c r="D130" s="18" t="str">
        <x:v>Jay-Z</x:v>
      </x:c>
      <x:c r="E130" s="18" t="str">
        <x:v>U Don't Know</x:v>
      </x:c>
      <x:c r="F130" s="18" t="str">
        <x:v>original The Blueprint album version</x:v>
      </x:c>
      <x:c r="G130" s="18" t="str">
        <x:v>New York</x:v>
      </x:c>
      <x:c r="H130" s="18" t="str">
        <x:v>Just-Blaze; soul-sampling; persona</x:v>
      </x:c>
      <x:c r="I130" s="18" t="str">
        <x:v>Just Blaze maximal soul production and command</x:v>
      </x:c>
      <x:c r="J130" s="18" t="str">
        <x:v>selected_main_route</x:v>
      </x:c>
      <x:c r="K130" s="18" t="str">
        <x:v>verified_musicbrainz</x:v>
      </x:c>
      <x:c r="L130" s="18" t="str">
        <x:v>https://musicbrainz.org/recording/bd8fb145-3998-4ff3-965e-f82fbe6d4782</x:v>
      </x:c>
      <x:c r="M130" s="18" t="str">
        <x:v>resolved_exact</x:v>
      </x:c>
      <x:c r="N130" s="18" t="str">
        <x:v>https://soundcloud.com/jay-z-official/u-dont-know-2</x:v>
      </x:c>
      <x:c r="O130" s="18" t="n">
        <x:v>465254655</x:v>
      </x:c>
      <x:c r="P130" s="18" t="str">
        <x:v>JAŸ-Z</x:v>
      </x:c>
      <x:c r="Q130" s="18" t="n">
        <x:v>199471</x:v>
      </x:c>
      <x:c r="R130" s="18" t="str">
        <x:v>subscriber_catalog</x:v>
      </x:c>
      <x:c r="S130" s="18" t="str">
        <x:v>Structured SoundCloud catalog metadata matches artist, title, and intended unaltered version.</x:v>
      </x:c>
      <x:c r="T130" s="18" t="str">
        <x:v>track-129</x:v>
      </x:c>
      <x:c r="U130" s="18" t="str">
        <x:v>Canonical</x:v>
      </x:c>
    </x:row>
    <x:row r="131">
      <x:c r="A131" s="18" t="n">
        <x:v>130</x:v>
      </x:c>
      <x:c r="B131" s="18" t="str">
        <x:v>HH08</x:v>
      </x:c>
      <x:c r="C131" s="18" t="n">
        <x:v>2002</x:v>
      </x:c>
      <x:c r="D131" s="18" t="str">
        <x:v>Clipse</x:v>
      </x:c>
      <x:c r="E131" s="18" t="str">
        <x:v>Grindin'</x:v>
      </x:c>
      <x:c r="F131" s="18" t="str">
        <x:v>original Lord Willin' album version</x:v>
      </x:c>
      <x:c r="G131" s="18" t="str">
        <x:v>Virginia</x:v>
      </x:c>
      <x:c r="H131" s="18" t="str">
        <x:v>Neptunes; minimal; street</x:v>
      </x:c>
      <x:c r="I131" s="18" t="str">
        <x:v>Percussion-only negative space and Tidewater producer power</x:v>
      </x:c>
      <x:c r="J131" s="18" t="str">
        <x:v>selected_main_route</x:v>
      </x:c>
      <x:c r="K131" s="18" t="str">
        <x:v>verified_musicbrainz</x:v>
      </x:c>
      <x:c r="L131" s="18" t="str">
        <x:v>https://musicbrainz.org/recording/8808c20c-100d-49e8-ad7a-f9a1992ffbe7</x:v>
      </x:c>
      <x:c r="M131" s="18" t="str">
        <x:v>resolved_exact</x:v>
      </x:c>
      <x:c r="N131" s="18" t="str">
        <x:v>https://soundcloud.com/clipse-official/grindin-main</x:v>
      </x:c>
      <x:c r="O131" s="18" t="n">
        <x:v>252807874</x:v>
      </x:c>
      <x:c r="P131" s="18" t="str">
        <x:v>Clipse</x:v>
      </x:c>
      <x:c r="Q131" s="18" t="n">
        <x:v>264803</x:v>
      </x:c>
      <x:c r="R131" s="18" t="str">
        <x:v>subscriber_catalog</x:v>
      </x:c>
      <x:c r="S131" s="18" t="str">
        <x:v>Structured SoundCloud catalog metadata matches artist, title, and intended unaltered version.</x:v>
      </x:c>
      <x:c r="T131" s="18" t="str">
        <x:v>track-130</x:v>
      </x:c>
      <x:c r="U131" s="18" t="str">
        <x:v>Canonical</x:v>
      </x:c>
    </x:row>
    <x:row r="132">
      <x:c r="A132" s="18" t="n">
        <x:v>131</x:v>
      </x:c>
      <x:c r="B132" s="18" t="str">
        <x:v>HH08</x:v>
      </x:c>
      <x:c r="C132" s="18" t="n">
        <x:v>2002</x:v>
      </x:c>
      <x:c r="D132" s="18" t="str">
        <x:v>Missy Elliott</x:v>
      </x:c>
      <x:c r="E132" s="18" t="str">
        <x:v>Work It</x:v>
      </x:c>
      <x:c r="F132" s="18" t="str">
        <x:v>original Under Construction album version</x:v>
      </x:c>
      <x:c r="G132" s="18" t="str">
        <x:v>Virginia</x:v>
      </x:c>
      <x:c r="H132" s="18" t="str">
        <x:v>women; Timbaland; reverse-vocal; pop</x:v>
      </x:c>
      <x:c r="I132" s="18" t="str">
        <x:v>Dense vocal production humor and formal play</x:v>
      </x:c>
      <x:c r="J132" s="18" t="str">
        <x:v>selected_main_route</x:v>
      </x:c>
      <x:c r="K132" s="18" t="str">
        <x:v>verified_musicbrainz</x:v>
      </x:c>
      <x:c r="L132" s="18" t="str">
        <x:v>https://musicbrainz.org/recording/1983d92a-e381-4d88-991d-651f162bbbee</x:v>
      </x:c>
      <x:c r="M132" s="18" t="str">
        <x:v>resolved_exact</x:v>
      </x:c>
      <x:c r="N132" s="18" t="str">
        <x:v>https://soundcloud.com/missyelliott/work-it</x:v>
      </x:c>
      <x:c r="O132" s="18" t="n">
        <x:v>255814590</x:v>
      </x:c>
      <x:c r="P132" s="18" t="str">
        <x:v>Missy Elliott</x:v>
      </x:c>
      <x:c r="Q132" s="18" t="n">
        <x:v>292963</x:v>
      </x:c>
      <x:c r="R132" s="18" t="str">
        <x:v>open_or_monetized</x:v>
      </x:c>
      <x:c r="S132" s="18" t="str">
        <x:v>Structured SoundCloud catalog metadata matches artist, title, and intended unaltered version.</x:v>
      </x:c>
      <x:c r="T132" s="18" t="str">
        <x:v>track-131</x:v>
      </x:c>
      <x:c r="U132" s="18" t="str">
        <x:v>Canonical</x:v>
      </x:c>
    </x:row>
    <x:row r="133">
      <x:c r="A133" s="18" t="n">
        <x:v>132</x:v>
      </x:c>
      <x:c r="B133" s="18" t="str">
        <x:v>HH08</x:v>
      </x:c>
      <x:c r="C133" s="18" t="n">
        <x:v>2002</x:v>
      </x:c>
      <x:c r="D133" s="18" t="str">
        <x:v>Lil Jon &amp; the East Side Boyz featuring Ying Yang Twins</x:v>
      </x:c>
      <x:c r="E133" s="18" t="str">
        <x:v>Get Low</x:v>
      </x:c>
      <x:c r="F133" s="18" t="str">
        <x:v>original Kings of Crunk album version</x:v>
      </x:c>
      <x:c r="G133" s="18" t="str">
        <x:v>Atlanta</x:v>
      </x:c>
      <x:c r="H133" s="18" t="str">
        <x:v>crunk; crowd-command; dance</x:v>
      </x:c>
      <x:c r="I133" s="18" t="str">
        <x:v>Crunk arrangement and collective physical instruction</x:v>
      </x:c>
      <x:c r="J133" s="18" t="str">
        <x:v>selected_main_route</x:v>
      </x:c>
      <x:c r="K133" s="18" t="str">
        <x:v>verified_soundcloud_catalog</x:v>
      </x:c>
      <x:c r="L133" s="18" t="str">
        <x:v>https://soundcloud.com/lil_jon/get-low</x:v>
      </x:c>
      <x:c r="M133" s="18" t="str">
        <x:v>resolved_exact</x:v>
      </x:c>
      <x:c r="N133" s="18" t="str">
        <x:v>https://soundcloud.com/lil_jon/get-low</x:v>
      </x:c>
      <x:c r="O133" s="18" t="n">
        <x:v>318930349</x:v>
      </x:c>
      <x:c r="P133" s="18" t="str">
        <x:v>LIL JON</x:v>
      </x:c>
      <x:c r="Q133" s="18" t="n">
        <x:v>334162</x:v>
      </x:c>
      <x:c r="R133" s="18" t="str">
        <x:v>subscriber_catalog</x:v>
      </x:c>
      <x:c r="S133" s="18" t="str">
        <x:v>Structured SoundCloud catalog metadata matches artist, title, and intended unaltered version.</x:v>
      </x:c>
      <x:c r="T133" s="18" t="str">
        <x:v>track-132</x:v>
      </x:c>
      <x:c r="U133" s="18" t="str">
        <x:v>Explicit; verify feature spelling</x:v>
      </x:c>
    </x:row>
    <x:row r="134">
      <x:c r="A134" s="18" t="n">
        <x:v>133</x:v>
      </x:c>
      <x:c r="B134" s="18" t="str">
        <x:v>HH08</x:v>
      </x:c>
      <x:c r="C134" s="18" t="n">
        <x:v>2003</x:v>
      </x:c>
      <x:c r="D134" s="18" t="str">
        <x:v>T.I.</x:v>
      </x:c>
      <x:c r="E134" s="18" t="str">
        <x:v>24's</x:v>
      </x:c>
      <x:c r="F134" s="18" t="str">
        <x:v>original Trap Muzik album version</x:v>
      </x:c>
      <x:c r="G134" s="18" t="str">
        <x:v>Atlanta</x:v>
      </x:c>
      <x:c r="H134" s="18" t="str">
        <x:v>trap; persona; Southern</x:v>
      </x:c>
      <x:c r="I134" s="18" t="str">
        <x:v>Trap as album identity before later standardization</x:v>
      </x:c>
      <x:c r="J134" s="18" t="str">
        <x:v>selected_main_route</x:v>
      </x:c>
      <x:c r="K134" s="18" t="str">
        <x:v>verified_musicbrainz</x:v>
      </x:c>
      <x:c r="L134" s="18" t="str">
        <x:v>https://musicbrainz.org/recording/dfb49440-34b9-4d54-8284-86ce6b8fe7c8</x:v>
      </x:c>
      <x:c r="M134" s="18" t="str">
        <x:v>resolved_exact</x:v>
      </x:c>
      <x:c r="N134" s="18" t="str">
        <x:v>https://soundcloud.com/tiofficial/24s-1</x:v>
      </x:c>
      <x:c r="O134" s="18" t="n">
        <x:v>256066652</x:v>
      </x:c>
      <x:c r="P134" s="18" t="str">
        <x:v>T.I.</x:v>
      </x:c>
      <x:c r="Q134" s="18" t="n">
        <x:v>261538</x:v>
      </x:c>
      <x:c r="R134" s="18" t="str">
        <x:v>open_or_monetized</x:v>
      </x:c>
      <x:c r="S134" s="18" t="str">
        <x:v>Structured SoundCloud catalog metadata matches artist, title, and intended unaltered version.</x:v>
      </x:c>
      <x:c r="T134" s="18" t="str">
        <x:v>track-133</x:v>
      </x:c>
      <x:c r="U134" s="18" t="str">
        <x:v>Verify single/album master</x:v>
      </x:c>
    </x:row>
    <x:row r="135">
      <x:c r="A135" s="18" t="n">
        <x:v>134</x:v>
      </x:c>
      <x:c r="B135" s="18" t="str">
        <x:v>HH08</x:v>
      </x:c>
      <x:c r="C135" s="18" t="n">
        <x:v>2005</x:v>
      </x:c>
      <x:c r="D135" s="18" t="str">
        <x:v>Young Jeezy featuring Jay-Z</x:v>
      </x:c>
      <x:c r="E135" s="18" t="str">
        <x:v>Go Crazy</x:v>
      </x:c>
      <x:c r="F135" s="18" t="str">
        <x:v>preferred album version without later remix unless justified</x:v>
      </x:c>
      <x:c r="G135" s="18" t="str">
        <x:v>Atlanta</x:v>
      </x:c>
      <x:c r="H135" s="18" t="str">
        <x:v>trap; Shawty-Redd; anthem</x:v>
      </x:c>
      <x:c r="I135" s="18" t="str">
        <x:v>Trap grandeur and producer signature</x:v>
      </x:c>
      <x:c r="J135" s="18" t="str">
        <x:v>selected_main_route</x:v>
      </x:c>
      <x:c r="K135" s="18" t="str">
        <x:v>verified_musicbrainz</x:v>
      </x:c>
      <x:c r="L135" s="18" t="str">
        <x:v>https://musicbrainz.org/recording/a186ae14-b36d-4b6b-89ac-136283657f10</x:v>
      </x:c>
      <x:c r="M135" s="18" t="str">
        <x:v>resolved_exact</x:v>
      </x:c>
      <x:c r="N135" s="18" t="str">
        <x:v>https://soundcloud.com/youngjeezy/go-crazy</x:v>
      </x:c>
      <x:c r="O135" s="18" t="n">
        <x:v>255856132</x:v>
      </x:c>
      <x:c r="P135" s="18" t="str">
        <x:v>Jeezy</x:v>
      </x:c>
      <x:c r="Q135" s="18" t="n">
        <x:v>199471</x:v>
      </x:c>
      <x:c r="R135" s="18" t="str">
        <x:v>subscriber_catalog</x:v>
      </x:c>
      <x:c r="S135" s="18" t="str">
        <x:v>Structured SoundCloud catalog metadata matches artist, title, and intended unaltered version.</x:v>
      </x:c>
      <x:c r="T135" s="18" t="str">
        <x:v>track-134</x:v>
      </x:c>
      <x:c r="U135" s="18" t="str">
        <x:v>Version decision required</x:v>
      </x:c>
    </x:row>
    <x:row r="136">
      <x:c r="A136" s="18" t="n">
        <x:v>135</x:v>
      </x:c>
      <x:c r="B136" s="18" t="str">
        <x:v>HH08</x:v>
      </x:c>
      <x:c r="C136" s="18" t="n">
        <x:v>2005</x:v>
      </x:c>
      <x:c r="D136" s="18" t="str">
        <x:v>Gucci Mane</x:v>
      </x:c>
      <x:c r="E136" s="18" t="str">
        <x:v>Trap House</x:v>
      </x:c>
      <x:c r="F136" s="18" t="str">
        <x:v>original album version</x:v>
      </x:c>
      <x:c r="G136" s="18" t="str">
        <x:v>Atlanta</x:v>
      </x:c>
      <x:c r="H136" s="18" t="str">
        <x:v>trap; mixtape-ecosystem; persona</x:v>
      </x:c>
      <x:c r="I136" s="18" t="str">
        <x:v>Eccentric diction and a durable independent trap lineage</x:v>
      </x:c>
      <x:c r="J136" s="18" t="str">
        <x:v>selected_main_route</x:v>
      </x:c>
      <x:c r="K136" s="18" t="str">
        <x:v>verified_musicbrainz</x:v>
      </x:c>
      <x:c r="L136" s="18" t="str">
        <x:v>https://musicbrainz.org/recording/d2ec3a2c-1b98-40ac-8448-5d2724238da3</x:v>
      </x:c>
      <x:c r="M136" s="18" t="str">
        <x:v>resolved_exact</x:v>
      </x:c>
      <x:c r="N136" s="18" t="str">
        <x:v>https://soundcloud.com/flameemojimusic/trap-house-3</x:v>
      </x:c>
      <x:c r="O136" s="18" t="n">
        <x:v>1388937898</x:v>
      </x:c>
      <x:c r="P136" s="18" t="str">
        <x:v>Gucci Mane</x:v>
      </x:c>
      <x:c r="Q136" s="18" t="n">
        <x:v>259500</x:v>
      </x:c>
      <x:c r="R136" s="18" t="str">
        <x:v>open_or_monetized</x:v>
      </x:c>
      <x:c r="S136" s="18" t="str">
        <x:v>Structured SoundCloud catalog metadata matches artist, title, and intended unaltered version.</x:v>
      </x:c>
      <x:c r="T136" s="18" t="str">
        <x:v>track-135</x:v>
      </x:c>
      <x:c r="U136" s="18" t="str">
        <x:v>Verify original Big Cat master</x:v>
      </x:c>
    </x:row>
    <x:row r="137">
      <x:c r="A137" s="18" t="n">
        <x:v>136</x:v>
      </x:c>
      <x:c r="B137" s="18" t="str">
        <x:v>HH08</x:v>
      </x:c>
      <x:c r="C137" s="18" t="n">
        <x:v>2005</x:v>
      </x:c>
      <x:c r="D137" s="18" t="str">
        <x:v>Lil Wayne</x:v>
      </x:c>
      <x:c r="E137" s="18" t="str">
        <x:v>Tha Mobb</x:v>
      </x:c>
      <x:c r="F137" s="18" t="str">
        <x:v>original Tha Carter II album version</x:v>
      </x:c>
      <x:c r="G137" s="18" t="str">
        <x:v>New Orleans</x:v>
      </x:c>
      <x:c r="H137" s="18" t="str">
        <x:v>mixtape-era; lyrical; Southern</x:v>
      </x:c>
      <x:c r="I137" s="18" t="str">
        <x:v>Mixtape-honed associative flow over album production</x:v>
      </x:c>
      <x:c r="J137" s="18" t="str">
        <x:v>selected_main_route</x:v>
      </x:c>
      <x:c r="K137" s="18" t="str">
        <x:v>verified_musicbrainz</x:v>
      </x:c>
      <x:c r="L137" s="18" t="str">
        <x:v>https://musicbrainz.org/recording/c863c7d0-2806-4249-8c2c-a2e41c19785a</x:v>
      </x:c>
      <x:c r="M137" s="18" t="str">
        <x:v>resolved_exact</x:v>
      </x:c>
      <x:c r="N137" s="18" t="str">
        <x:v>https://soundcloud.com/lilwayne/tha-mobb-album-version</x:v>
      </x:c>
      <x:c r="O137" s="18" t="n">
        <x:v>252944836</x:v>
      </x:c>
      <x:c r="P137" s="18" t="str">
        <x:v>Lil Wayne</x:v>
      </x:c>
      <x:c r="Q137" s="18" t="n">
        <x:v>320575</x:v>
      </x:c>
      <x:c r="R137" s="18" t="str">
        <x:v>subscriber_catalog</x:v>
      </x:c>
      <x:c r="S137" s="18" t="str">
        <x:v>Structured SoundCloud catalog metadata matches artist, title, and intended unaltered version.</x:v>
      </x:c>
      <x:c r="T137" s="18" t="str">
        <x:v>track-136</x:v>
      </x:c>
      <x:c r="U137" s="18" t="str">
        <x:v>Canonical deep cut</x:v>
      </x:c>
    </x:row>
    <x:row r="138">
      <x:c r="A138" s="18" t="n">
        <x:v>137</x:v>
      </x:c>
      <x:c r="B138" s="18" t="str">
        <x:v>HH08</x:v>
      </x:c>
      <x:c r="C138" s="18" t="n">
        <x:v>2002</x:v>
      </x:c>
      <x:c r="D138" s="18" t="str">
        <x:v>Cam'ron</x:v>
      </x:c>
      <x:c r="E138" s="18" t="str">
        <x:v>I Really Mean It</x:v>
      </x:c>
      <x:c r="F138" s="18" t="str">
        <x:v>original Come Home with Me album version</x:v>
      </x:c>
      <x:c r="G138" s="18" t="str">
        <x:v>Harlem / New York</x:v>
      </x:c>
      <x:c r="H138" s="18" t="str">
        <x:v>Dipset; Heatmakerz; soul-sampling</x:v>
      </x:c>
      <x:c r="I138" s="18" t="str">
        <x:v>Stylized language and maximal pitched-soul production</x:v>
      </x:c>
      <x:c r="J138" s="18" t="str">
        <x:v>selected_main_route</x:v>
      </x:c>
      <x:c r="K138" s="18" t="str">
        <x:v>metadata_source_incomplete</x:v>
      </x:c>
      <x:c r="L138" s="18" t="str">
        <x:v>https://musicbrainz.org/ws/2/recording/?query=recording%3A%22I+Really+Mean+It%22+AND+artist%3A%22Cam%27ron%22&amp;fmt=json&amp;limit=8</x:v>
      </x:c>
      <x:c r="M138" s="18" t="str">
        <x:v>unavailable_exact</x:v>
      </x:c>
      <x:c r="N138" s="18" t="str"/>
      <x:c r="O138" s="18" t="str"/>
      <x:c r="P138" s="18" t="str"/>
      <x:c r="Q138" s="18" t="str"/>
      <x:c r="R138" s="18" t="str"/>
      <x:c r="S138" s="18" t="str">
        <x:v>The artist-catalog result is the edited album version, not the intended explicit album master.</x:v>
      </x:c>
      <x:c r="T138" s="18" t="str">
        <x:v>track-137</x:v>
      </x:c>
      <x:c r="U138" s="18" t="str">
        <x:v>Verify version</x:v>
      </x:c>
    </x:row>
    <x:row r="139">
      <x:c r="A139" s="18" t="n">
        <x:v>138</x:v>
      </x:c>
      <x:c r="B139" s="18" t="str">
        <x:v>HH08</x:v>
      </x:c>
      <x:c r="C139" s="18" t="n">
        <x:v>2002</x:v>
      </x:c>
      <x:c r="D139" s="18" t="str">
        <x:v>Jean Grae</x:v>
      </x:c>
      <x:c r="E139" s="18" t="str">
        <x:v>Hater's Anthem</x:v>
      </x:c>
      <x:c r="F139" s="18" t="str">
        <x:v>original Attack of the Attacking Things version</x:v>
      </x:c>
      <x:c r="G139" s="18" t="str">
        <x:v>New York / South Africa diaspora</x:v>
      </x:c>
      <x:c r="H139" s="18" t="str">
        <x:v>women; independent; lyrical</x:v>
      </x:c>
      <x:c r="I139" s="18" t="str">
        <x:v>Independent woman MC formal skill and diasporic biography</x:v>
      </x:c>
      <x:c r="J139" s="18" t="str">
        <x:v>selected_main_route</x:v>
      </x:c>
      <x:c r="K139" s="18" t="str">
        <x:v>verified_musicbrainz</x:v>
      </x:c>
      <x:c r="L139" s="18" t="str">
        <x:v>https://musicbrainz.org/recording/f6a42805-2deb-4abb-97e5-517d89a4b02b</x:v>
      </x:c>
      <x:c r="M139" s="18" t="str">
        <x:v>resolved_exact</x:v>
      </x:c>
      <x:c r="N139" s="18" t="str">
        <x:v>https://soundcloud.com/jeangraeofficial/haters-anthem</x:v>
      </x:c>
      <x:c r="O139" s="18" t="n">
        <x:v>398395842</x:v>
      </x:c>
      <x:c r="P139" s="18" t="str">
        <x:v>Jean Grae</x:v>
      </x:c>
      <x:c r="Q139" s="18" t="n">
        <x:v>313704</x:v>
      </x:c>
      <x:c r="R139" s="18" t="str">
        <x:v>open_or_monetized</x:v>
      </x:c>
      <x:c r="S139" s="18" t="str">
        <x:v>Structured SoundCloud catalog metadata matches artist, title, and intended unaltered version.</x:v>
      </x:c>
      <x:c r="T139" s="18" t="str">
        <x:v>track-138</x:v>
      </x:c>
      <x:c r="U139" s="18" t="str">
        <x:v>Version verify</x:v>
      </x:c>
    </x:row>
    <x:row r="140">
      <x:c r="A140" s="18" t="n">
        <x:v>139</x:v>
      </x:c>
      <x:c r="B140" s="18" t="str">
        <x:v>HH08</x:v>
      </x:c>
      <x:c r="C140" s="18" t="n">
        <x:v>2003</x:v>
      </x:c>
      <x:c r="D140" s="18" t="str">
        <x:v>50 Cent</x:v>
      </x:c>
      <x:c r="E140" s="18" t="str">
        <x:v>Many Men (Wish Death)</x:v>
      </x:c>
      <x:c r="F140" s="18" t="str">
        <x:v>original Get Rich or Die Tryin' album version</x:v>
      </x:c>
      <x:c r="G140" s="18" t="str">
        <x:v>Queens / New York</x:v>
      </x:c>
      <x:c r="H140" s="18" t="str">
        <x:v>mixtape-to-mainstream; narrative</x:v>
      </x:c>
      <x:c r="I140" s="18" t="str">
        <x:v>Mixtape credibility converted into cinematic album narrative</x:v>
      </x:c>
      <x:c r="J140" s="18" t="str">
        <x:v>selected_main_route</x:v>
      </x:c>
      <x:c r="K140" s="18" t="str">
        <x:v>verified_musicbrainz</x:v>
      </x:c>
      <x:c r="L140" s="18" t="str">
        <x:v>https://musicbrainz.org/recording/d0c086e4-da1e-4cfe-a9f4-b538a09ec40d</x:v>
      </x:c>
      <x:c r="M140" s="18" t="str">
        <x:v>resolved_exact</x:v>
      </x:c>
      <x:c r="N140" s="18" t="str">
        <x:v>https://soundcloud.com/50_cent/many-men-wish-death</x:v>
      </x:c>
      <x:c r="O140" s="18" t="n">
        <x:v>255894174</x:v>
      </x:c>
      <x:c r="P140" s="18" t="str">
        <x:v>50 Cent</x:v>
      </x:c>
      <x:c r="Q140" s="18" t="n">
        <x:v>256287</x:v>
      </x:c>
      <x:c r="R140" s="18" t="str">
        <x:v>subscriber_catalog</x:v>
      </x:c>
      <x:c r="S140" s="18" t="str">
        <x:v>Structured SoundCloud catalog metadata matches artist, title, and intended unaltered version.</x:v>
      </x:c>
      <x:c r="T140" s="18" t="str">
        <x:v>track-139</x:v>
      </x:c>
      <x:c r="U140" s="18" t="str">
        <x:v>Canonical</x:v>
      </x:c>
    </x:row>
    <x:row r="141">
      <x:c r="A141" s="18" t="n">
        <x:v>140</x:v>
      </x:c>
      <x:c r="B141" s="18" t="str">
        <x:v>HH08</x:v>
      </x:c>
      <x:c r="C141" s="18" t="n">
        <x:v>2004</x:v>
      </x:c>
      <x:c r="D141" s="18" t="str">
        <x:v>Kanye West</x:v>
      </x:c>
      <x:c r="E141" s="18" t="str">
        <x:v>Jesus Walks</x:v>
      </x:c>
      <x:c r="F141" s="18" t="str">
        <x:v>original The College Dropout album version</x:v>
      </x:c>
      <x:c r="G141" s="18" t="str">
        <x:v>Chicago</x:v>
      </x:c>
      <x:c r="H141" s="18" t="str">
        <x:v>gospel; producer-MC; message</x:v>
      </x:c>
      <x:c r="I141" s="18" t="str">
        <x:v>Sacred address inside mainstream drum programming</x:v>
      </x:c>
      <x:c r="J141" s="18" t="str">
        <x:v>selected_main_route</x:v>
      </x:c>
      <x:c r="K141" s="18" t="str">
        <x:v>verified_musicbrainz</x:v>
      </x:c>
      <x:c r="L141" s="18" t="str">
        <x:v>https://musicbrainz.org/recording/3503de11-fefe-489c-81ac-ef7c9b7ab282</x:v>
      </x:c>
      <x:c r="M141" s="18" t="str">
        <x:v>resolved_exact</x:v>
      </x:c>
      <x:c r="N141" s="18" t="str">
        <x:v>https://soundcloud.com/kanyewest/jesus-walks-album-version-1</x:v>
      </x:c>
      <x:c r="O141" s="18" t="n">
        <x:v>255766408</x:v>
      </x:c>
      <x:c r="P141" s="18" t="str">
        <x:v>Kanye West</x:v>
      </x:c>
      <x:c r="Q141" s="18" t="n">
        <x:v>200333</x:v>
      </x:c>
      <x:c r="R141" s="18" t="str">
        <x:v>subscriber_catalog</x:v>
      </x:c>
      <x:c r="S141" s="18" t="str">
        <x:v>Structured SoundCloud catalog metadata matches artist, title, and intended unaltered version.</x:v>
      </x:c>
      <x:c r="T141" s="18" t="str">
        <x:v>track-140</x:v>
      </x:c>
      <x:c r="U141" s="18" t="str">
        <x:v>Canonical</x:v>
      </x:c>
    </x:row>
    <x:row r="142">
      <x:c r="A142" s="18" t="n">
        <x:v>141</x:v>
      </x:c>
      <x:c r="B142" s="18" t="str">
        <x:v>HH08</x:v>
      </x:c>
      <x:c r="C142" s="18" t="n">
        <x:v>2002</x:v>
      </x:c>
      <x:c r="D142" s="18" t="str">
        <x:v>Tego Calderón</x:v>
      </x:c>
      <x:c r="E142" s="18" t="str">
        <x:v>Pa' Que Retozen</x:v>
      </x:c>
      <x:c r="F142" s="18" t="str">
        <x:v>original El Abayarde version</x:v>
      </x:c>
      <x:c r="G142" s="18" t="str">
        <x:v>Puerto Rico</x:v>
      </x:c>
      <x:c r="H142" s="18" t="str">
        <x:v>Puerto-Rican-rap; reggaeton-neighbor; dance</x:v>
      </x:c>
      <x:c r="I142" s="18" t="str">
        <x:v>Afro-Puerto Rican voice at the rap-reggaeton boundary</x:v>
      </x:c>
      <x:c r="J142" s="18" t="str">
        <x:v>selected_main_route</x:v>
      </x:c>
      <x:c r="K142" s="18" t="str">
        <x:v>verified_musicbrainz</x:v>
      </x:c>
      <x:c r="L142" s="18" t="str">
        <x:v>https://musicbrainz.org/recording/e536e3d9-4414-40cb-bf64-7e167adc694d</x:v>
      </x:c>
      <x:c r="M142" s="18" t="str">
        <x:v>resolved_exact</x:v>
      </x:c>
      <x:c r="N142" s="18" t="str">
        <x:v>https://soundcloud.com/tegocalderonmusic/pa-que-retozen</x:v>
      </x:c>
      <x:c r="O142" s="18" t="n">
        <x:v>188334061</x:v>
      </x:c>
      <x:c r="P142" s="18" t="str">
        <x:v>Tego Calderon</x:v>
      </x:c>
      <x:c r="Q142" s="18" t="n">
        <x:v>145671</x:v>
      </x:c>
      <x:c r="R142" s="18" t="str">
        <x:v>open_or_monetized</x:v>
      </x:c>
      <x:c r="S142" s="18" t="str">
        <x:v>Structured SoundCloud catalog metadata matches artist, title, and intended unaltered version.</x:v>
      </x:c>
      <x:c r="T142" s="18" t="str">
        <x:v>track-141</x:v>
      </x:c>
      <x:c r="U142" s="18" t="str">
        <x:v>Do not collapse reggaeton into rap; exact master verify</x:v>
      </x:c>
    </x:row>
    <x:row r="143">
      <x:c r="A143" s="18" t="n">
        <x:v>142</x:v>
      </x:c>
      <x:c r="B143" s="18" t="str">
        <x:v>HH08</x:v>
      </x:c>
      <x:c r="C143" s="18" t="n">
        <x:v>2004</x:v>
      </x:c>
      <x:c r="D143" s="18" t="str">
        <x:v>Madvillain</x:v>
      </x:c>
      <x:c r="E143" s="18" t="str">
        <x:v>Accordion</x:v>
      </x:c>
      <x:c r="F143" s="18" t="str">
        <x:v>original Madvillainy album version</x:v>
      </x:c>
      <x:c r="G143" s="18" t="str">
        <x:v>Los Angeles / New York</x:v>
      </x:c>
      <x:c r="H143" s="18" t="str">
        <x:v>abstract; producer-MC; concise</x:v>
      </x:c>
      <x:c r="I143" s="18" t="str">
        <x:v>Compressed form eccentric sample and oblique writing</x:v>
      </x:c>
      <x:c r="J143" s="18" t="str">
        <x:v>selected_main_route</x:v>
      </x:c>
      <x:c r="K143" s="18" t="str">
        <x:v>verified_musicbrainz</x:v>
      </x:c>
      <x:c r="L143" s="18" t="str">
        <x:v>https://musicbrainz.org/recording/8943ece1-0763-4a9d-8414-ab4f58c40d1b</x:v>
      </x:c>
      <x:c r="M143" s="18" t="str">
        <x:v>resolved_exact</x:v>
      </x:c>
      <x:c r="N143" s="18" t="str">
        <x:v>https://soundcloud.com/madvillain-official/accordian</x:v>
      </x:c>
      <x:c r="O143" s="18" t="n">
        <x:v>291506845</x:v>
      </x:c>
      <x:c r="P143" s="18" t="str">
        <x:v>Madvillain</x:v>
      </x:c>
      <x:c r="Q143" s="18" t="n">
        <x:v>118883</x:v>
      </x:c>
      <x:c r="R143" s="18" t="str">
        <x:v>subscriber_catalog</x:v>
      </x:c>
      <x:c r="S143" s="18" t="str">
        <x:v>Structured SoundCloud catalog metadata matches artist, title, and intended unaltered version.</x:v>
      </x:c>
      <x:c r="T143" s="18" t="str">
        <x:v>track-142</x:v>
      </x:c>
      <x:c r="U143" s="18" t="str">
        <x:v>Connoisseur anchor</x:v>
      </x:c>
    </x:row>
    <x:row r="144">
      <x:c r="A144" s="18" t="n">
        <x:v>143</x:v>
      </x:c>
      <x:c r="B144" s="18" t="str">
        <x:v>HH08</x:v>
      </x:c>
      <x:c r="C144" s="18" t="n">
        <x:v>2006</x:v>
      </x:c>
      <x:c r="D144" s="18" t="str">
        <x:v>J Dilla</x:v>
      </x:c>
      <x:c r="E144" s="18" t="str">
        <x:v>Time: The Donut of the Heart</x:v>
      </x:c>
      <x:c r="F144" s="18" t="str">
        <x:v>original Donuts album version</x:v>
      </x:c>
      <x:c r="G144" s="18" t="str">
        <x:v>Detroit</x:v>
      </x:c>
      <x:c r="H144" s="18" t="str">
        <x:v>instrumental; beat-tape; sampling</x:v>
      </x:c>
      <x:c r="I144" s="18" t="str">
        <x:v>Micro-composition and producer listening</x:v>
      </x:c>
      <x:c r="J144" s="18" t="str">
        <x:v>selected_main_route</x:v>
      </x:c>
      <x:c r="K144" s="18" t="str">
        <x:v>verified_musicbrainz</x:v>
      </x:c>
      <x:c r="L144" s="18" t="str">
        <x:v>https://musicbrainz.org/recording/567671b0-53f8-4314-91bc-fae87cd0197b</x:v>
      </x:c>
      <x:c r="M144" s="18" t="str">
        <x:v>resolved_exact</x:v>
      </x:c>
      <x:c r="N144" s="18" t="str">
        <x:v>https://soundcloud.com/jdilla/time-the-donut-of-the-heart</x:v>
      </x:c>
      <x:c r="O144" s="18" t="n">
        <x:v>291523036</x:v>
      </x:c>
      <x:c r="P144" s="18" t="str">
        <x:v>J Dilla</x:v>
      </x:c>
      <x:c r="Q144" s="18" t="n">
        <x:v>98720</x:v>
      </x:c>
      <x:c r="R144" s="18" t="str">
        <x:v>subscriber_catalog</x:v>
      </x:c>
      <x:c r="S144" s="18" t="str">
        <x:v>Structured SoundCloud catalog metadata matches artist, title, and intended unaltered version.</x:v>
      </x:c>
      <x:c r="T144" s="18" t="str">
        <x:v>track-143</x:v>
      </x:c>
      <x:c r="U144" s="18" t="str">
        <x:v>Verify title punctuation</x:v>
      </x:c>
    </x:row>
    <x:row r="145">
      <x:c r="A145" s="18" t="n">
        <x:v>144</x:v>
      </x:c>
      <x:c r="B145" s="18" t="str">
        <x:v>HH08</x:v>
      </x:c>
      <x:c r="C145" s="18" t="n">
        <x:v>2005</x:v>
      </x:c>
      <x:c r="D145" s="18" t="str">
        <x:v>Little Brother</x:v>
      </x:c>
      <x:c r="E145" s="18" t="str">
        <x:v>Lovin' It</x:v>
      </x:c>
      <x:c r="F145" s="18" t="str">
        <x:v>original The Minstrel Show album version</x:v>
      </x:c>
      <x:c r="G145" s="18" t="str">
        <x:v>North Carolina</x:v>
      </x:c>
      <x:c r="H145" s="18" t="str">
        <x:v>independent; 9th-Wonder; critique</x:v>
      </x:c>
      <x:c r="I145" s="18" t="str">
        <x:v>Regional independent craft and media critique</x:v>
      </x:c>
      <x:c r="J145" s="18" t="str">
        <x:v>selected_main_route</x:v>
      </x:c>
      <x:c r="K145" s="18" t="str">
        <x:v>verified_musicbrainz</x:v>
      </x:c>
      <x:c r="L145" s="18" t="str">
        <x:v>https://musicbrainz.org/recording/4ea2e58f-afa3-4d39-8ace-1b98845f12cd</x:v>
      </x:c>
      <x:c r="M145" s="18" t="str">
        <x:v>resolved_exact</x:v>
      </x:c>
      <x:c r="N145" s="18" t="str">
        <x:v>https://soundcloud.com/littlebrotherofficial/little-brother-lovin-it-feat</x:v>
      </x:c>
      <x:c r="O145" s="18" t="n">
        <x:v>231886926</x:v>
      </x:c>
      <x:c r="P145" s="18" t="str">
        <x:v>Little Brother</x:v>
      </x:c>
      <x:c r="Q145" s="18" t="n">
        <x:v>231758</x:v>
      </x:c>
      <x:c r="R145" s="18" t="str">
        <x:v>open_or_monetized</x:v>
      </x:c>
      <x:c r="S145" s="18" t="str">
        <x:v>Structured SoundCloud catalog metadata matches artist, title, and intended unaltered version.</x:v>
      </x:c>
      <x:c r="T145" s="18" t="str">
        <x:v>track-144</x:v>
      </x:c>
      <x:c r="U145" s="18" t="str">
        <x:v>Deep-route choice</x:v>
      </x:c>
    </x:row>
    <x:row r="146">
      <x:c r="A146" s="18" t="n">
        <x:v>145</x:v>
      </x:c>
      <x:c r="B146" s="18" t="str">
        <x:v>HH08</x:v>
      </x:c>
      <x:c r="C146" s="18" t="n">
        <x:v>2003</x:v>
      </x:c>
      <x:c r="D146" s="18" t="str">
        <x:v>M.I.A.</x:v>
      </x:c>
      <x:c r="E146" s="18" t="str">
        <x:v>Galang</x:v>
      </x:c>
      <x:c r="F146" s="18" t="str">
        <x:v>original single version</x:v>
      </x:c>
      <x:c r="G146" s="18" t="str">
        <x:v>London / Sri Lankan diaspora</x:v>
      </x:c>
      <x:c r="H146" s="18" t="str">
        <x:v>global; electronic; political</x:v>
      </x:c>
      <x:c r="I146" s="18" t="str">
        <x:v>Diasporic authorship between rap dancehall and electronic production</x:v>
      </x:c>
      <x:c r="J146" s="18" t="str">
        <x:v>selected_main_route</x:v>
      </x:c>
      <x:c r="K146" s="18" t="str">
        <x:v>verified_musicbrainz</x:v>
      </x:c>
      <x:c r="L146" s="18" t="str">
        <x:v>https://musicbrainz.org/recording/f5f75ffa-c897-4c86-a4ac-405d7145b848</x:v>
      </x:c>
      <x:c r="M146" s="18" t="str">
        <x:v>resolved_exact</x:v>
      </x:c>
      <x:c r="N146" s="18" t="str">
        <x:v>https://soundcloud.com/miauk/galang-1</x:v>
      </x:c>
      <x:c r="O146" s="18" t="n">
        <x:v>256160515</x:v>
      </x:c>
      <x:c r="P146" s="18" t="str">
        <x:v>MIA</x:v>
      </x:c>
      <x:c r="Q146" s="18" t="n">
        <x:v>213629</x:v>
      </x:c>
      <x:c r="R146" s="18" t="str">
        <x:v>subscriber_catalog</x:v>
      </x:c>
      <x:c r="S146" s="18" t="str">
        <x:v>Structured SoundCloud catalog metadata matches artist, title, and intended unaltered version.</x:v>
      </x:c>
      <x:c r="T146" s="18" t="str">
        <x:v>track-145</x:v>
      </x:c>
      <x:c r="U146" s="18" t="str">
        <x:v>Boundary track; exact 2003/2004 issue verify</x:v>
      </x:c>
    </x:row>
    <x:row r="147">
      <x:c r="A147" s="18" t="n">
        <x:v>146</x:v>
      </x:c>
      <x:c r="B147" s="18" t="str">
        <x:v>HH08</x:v>
      </x:c>
      <x:c r="C147" s="18" t="n">
        <x:v>2003</x:v>
      </x:c>
      <x:c r="D147" s="18" t="str">
        <x:v>Dizzee Rascal</x:v>
      </x:c>
      <x:c r="E147" s="18" t="str">
        <x:v>I Luv U</x:v>
      </x:c>
      <x:c r="F147" s="18" t="str">
        <x:v>original Boy in da Corner album version</x:v>
      </x:c>
      <x:c r="G147" s="18" t="str">
        <x:v>London / United Kingdom</x:v>
      </x:c>
      <x:c r="H147" s="18" t="str">
        <x:v>grime; MC; electronic</x:v>
      </x:c>
      <x:c r="I147" s="18" t="str">
        <x:v>Grime as a neighboring Black British MC form with distinct grammar</x:v>
      </x:c>
      <x:c r="J147" s="18" t="str">
        <x:v>selected_main_route</x:v>
      </x:c>
      <x:c r="K147" s="18" t="str">
        <x:v>verified_musicbrainz</x:v>
      </x:c>
      <x:c r="L147" s="18" t="str">
        <x:v>https://musicbrainz.org/recording/f9caf3bd-2400-48c5-995b-8f6033184a3c</x:v>
      </x:c>
      <x:c r="M147" s="18" t="str">
        <x:v>resolved_exact</x:v>
      </x:c>
      <x:c r="N147" s="18" t="str">
        <x:v>https://soundcloud.com/dizzee-rascal/i-luv-u</x:v>
      </x:c>
      <x:c r="O147" s="18" t="n">
        <x:v>266056620</x:v>
      </x:c>
      <x:c r="P147" s="18" t="str">
        <x:v>Dizzee Rascal</x:v>
      </x:c>
      <x:c r="Q147" s="18" t="n">
        <x:v>245107</x:v>
      </x:c>
      <x:c r="R147" s="18" t="str">
        <x:v>subscriber_catalog</x:v>
      </x:c>
      <x:c r="S147" s="18" t="str">
        <x:v>Structured SoundCloud catalog metadata matches artist, title, and intended unaltered version.</x:v>
      </x:c>
      <x:c r="T147" s="18" t="str">
        <x:v>track-146</x:v>
      </x:c>
      <x:c r="U147" s="18" t="str">
        <x:v>Do not relabel grime as rap subgenre</x:v>
      </x:c>
    </x:row>
    <x:row r="148">
      <x:c r="A148" s="18" t="n">
        <x:v>147</x:v>
      </x:c>
      <x:c r="B148" s="18" t="str">
        <x:v>HH08</x:v>
      </x:c>
      <x:c r="C148" s="18" t="n">
        <x:v>2001</x:v>
      </x:c>
      <x:c r="D148" s="18" t="str">
        <x:v>The Streets</x:v>
      </x:c>
      <x:c r="E148" s="18" t="str">
        <x:v>Has It Come to This?</x:v>
      </x:c>
      <x:c r="F148" s="18" t="str">
        <x:v>original single or Original Pirate Material version</x:v>
      </x:c>
      <x:c r="G148" s="18" t="str">
        <x:v>Birmingham / London</x:v>
      </x:c>
      <x:c r="H148" s="18" t="str">
        <x:v>UK-rap; garage-neighbor; narrative</x:v>
      </x:c>
      <x:c r="I148" s="18" t="str">
        <x:v>British conversational voice over garage-derived production</x:v>
      </x:c>
      <x:c r="J148" s="18" t="str">
        <x:v>selected_main_route</x:v>
      </x:c>
      <x:c r="K148" s="18" t="str">
        <x:v>verified_musicbrainz</x:v>
      </x:c>
      <x:c r="L148" s="18" t="str">
        <x:v>https://musicbrainz.org/recording/1a6eae1a-7627-482f-b0da-274af6acaaa1</x:v>
      </x:c>
      <x:c r="M148" s="18" t="str">
        <x:v>resolved_exact</x:v>
      </x:c>
      <x:c r="N148" s="18" t="str">
        <x:v>https://soundcloud.com/the-streets/has-it-come-to-this</x:v>
      </x:c>
      <x:c r="O148" s="18" t="n">
        <x:v>255845970</x:v>
      </x:c>
      <x:c r="P148" s="18" t="str">
        <x:v>The Streets</x:v>
      </x:c>
      <x:c r="Q148" s="18" t="n">
        <x:v>243196</x:v>
      </x:c>
      <x:c r="R148" s="18" t="str">
        <x:v>subscriber_catalog</x:v>
      </x:c>
      <x:c r="S148" s="18" t="str">
        <x:v>Structured SoundCloud catalog metadata matches artist, title, and intended unaltered version.</x:v>
      </x:c>
      <x:c r="T148" s="18" t="str">
        <x:v>track-147</x:v>
      </x:c>
      <x:c r="U148" s="18" t="str">
        <x:v>Version verify</x:v>
      </x:c>
    </x:row>
    <x:row r="149">
      <x:c r="A149" s="18" t="n">
        <x:v>148</x:v>
      </x:c>
      <x:c r="B149" s="18" t="str">
        <x:v>HH08</x:v>
      </x:c>
      <x:c r="C149" s="18" t="n">
        <x:v>2004</x:v>
      </x:c>
      <x:c r="D149" s="18" t="str">
        <x:v>TTC</x:v>
      </x:c>
      <x:c r="E149" s="18" t="str">
        <x:v>Dans le club</x:v>
      </x:c>
      <x:c r="F149" s="18" t="str">
        <x:v>original Bâtards sensibles version</x:v>
      </x:c>
      <x:c r="G149" s="18" t="str">
        <x:v>France</x:v>
      </x:c>
      <x:c r="H149" s="18" t="str">
        <x:v>French-rap; electronic; club</x:v>
      </x:c>
      <x:c r="I149" s="18" t="str">
        <x:v>French experimental club-facing rap</x:v>
      </x:c>
      <x:c r="J149" s="18" t="str">
        <x:v>selected_main_route</x:v>
      </x:c>
      <x:c r="K149" s="18" t="str">
        <x:v>verified_musicbrainz</x:v>
      </x:c>
      <x:c r="L149" s="18" t="str">
        <x:v>https://musicbrainz.org/recording/4122c34c-de76-4d4f-a528-e169d259b01c</x:v>
      </x:c>
      <x:c r="M149" s="18" t="str">
        <x:v>resolved_exact</x:v>
      </x:c>
      <x:c r="N149" s="18" t="str">
        <x:v>https://soundcloud.com/ttcofficial/dans-le-club</x:v>
      </x:c>
      <x:c r="O149" s="18" t="n">
        <x:v>302291376</x:v>
      </x:c>
      <x:c r="P149" s="18" t="str">
        <x:v>TTC</x:v>
      </x:c>
      <x:c r="Q149" s="18" t="n">
        <x:v>237422</x:v>
      </x:c>
      <x:c r="R149" s="18" t="str">
        <x:v>open_or_monetized</x:v>
      </x:c>
      <x:c r="S149" s="18" t="str">
        <x:v>Structured SoundCloud catalog metadata matches artist, title, and intended unaltered version.</x:v>
      </x:c>
      <x:c r="T149" s="18" t="str">
        <x:v>track-148</x:v>
      </x:c>
      <x:c r="U149" s="18" t="str">
        <x:v>Exact version verify</x:v>
      </x:c>
    </x:row>
    <x:row r="150">
      <x:c r="A150" s="18" t="n">
        <x:v>149</x:v>
      </x:c>
      <x:c r="B150" s="18" t="str">
        <x:v>HH08</x:v>
      </x:c>
      <x:c r="C150" s="18" t="n">
        <x:v>2005</x:v>
      </x:c>
      <x:c r="D150" s="18" t="str">
        <x:v>K'naan</x:v>
      </x:c>
      <x:c r="E150" s="18" t="str">
        <x:v>What's Hardcore?</x:v>
      </x:c>
      <x:c r="F150" s="18" t="str">
        <x:v>original The Dusty Foot Philosopher version</x:v>
      </x:c>
      <x:c r="G150" s="18" t="str">
        <x:v>Somalia / Canada</x:v>
      </x:c>
      <x:c r="H150" s="18" t="str">
        <x:v>diaspora; political; global</x:v>
      </x:c>
      <x:c r="I150" s="18" t="str">
        <x:v>Challenges US gangsta authenticity through Somali experience</x:v>
      </x:c>
      <x:c r="J150" s="18" t="str">
        <x:v>selected_main_route</x:v>
      </x:c>
      <x:c r="K150" s="18" t="str">
        <x:v>verified_musicbrainz</x:v>
      </x:c>
      <x:c r="L150" s="18" t="str">
        <x:v>https://musicbrainz.org/recording/6c50a812-c862-4a5c-8ee3-4ca3833f996b</x:v>
      </x:c>
      <x:c r="M150" s="18" t="str">
        <x:v>resolved_exact</x:v>
      </x:c>
      <x:c r="N150" s="18" t="str">
        <x:v>https://soundcloud.com/knaan-official/whats-hardcore-1</x:v>
      </x:c>
      <x:c r="O150" s="18" t="n">
        <x:v>591869820</x:v>
      </x:c>
      <x:c r="P150" s="18" t="str">
        <x:v>K'NAAN</x:v>
      </x:c>
      <x:c r="Q150" s="18" t="n">
        <x:v>171770</x:v>
      </x:c>
      <x:c r="R150" s="18" t="str">
        <x:v>subscriber_catalog</x:v>
      </x:c>
      <x:c r="S150" s="18" t="str">
        <x:v>Structured SoundCloud catalog metadata matches artist, title, and intended unaltered version.</x:v>
      </x:c>
      <x:c r="T150" s="18" t="str">
        <x:v>track-149</x:v>
      </x:c>
      <x:c r="U150" s="18" t="str">
        <x:v>Contextualize comparative violence carefully</x:v>
      </x:c>
    </x:row>
    <x:row r="151">
      <x:c r="A151" s="18" t="n">
        <x:v>150</x:v>
      </x:c>
      <x:c r="B151" s="18" t="str">
        <x:v>HH08</x:v>
      </x:c>
      <x:c r="C151" s="18" t="n">
        <x:v>2003</x:v>
      </x:c>
      <x:c r="D151" s="18" t="str">
        <x:v>Daara J</x:v>
      </x:c>
      <x:c r="E151" s="18" t="str">
        <x:v>Exodus</x:v>
      </x:c>
      <x:c r="F151" s="18" t="str">
        <x:v>original Boomerang album version</x:v>
      </x:c>
      <x:c r="G151" s="18" t="str">
        <x:v>Dakar / Senegal</x:v>
      </x:c>
      <x:c r="H151" s="18" t="str">
        <x:v>Senegalese-rap; Wolof/French; global</x:v>
      </x:c>
      <x:c r="I151" s="18" t="str">
        <x:v>Senegalese multilingual scene and outward circulation</x:v>
      </x:c>
      <x:c r="J151" s="18" t="str">
        <x:v>selected_main_route</x:v>
      </x:c>
      <x:c r="K151" s="18" t="str">
        <x:v>verified_musicbrainz</x:v>
      </x:c>
      <x:c r="L151" s="18" t="str">
        <x:v>https://musicbrainz.org/recording/f250639a-88a0-4405-bb78-d13c5f1c80b5</x:v>
      </x:c>
      <x:c r="M151" s="18" t="str">
        <x:v>unavailable_exact</x:v>
      </x:c>
      <x:c r="N151" s="18" t="str"/>
      <x:c r="O151" s="18" t="str"/>
      <x:c r="P151" s="18" t="str"/>
      <x:c r="Q151" s="18" t="str"/>
      <x:c r="R151" s="18" t="str"/>
      <x:c r="S151" s="18" t="str">
        <x:v>The apparent result is a different Napoleon recording featuring Daara J; no exact Boomerang album track was accepted.</x:v>
      </x:c>
      <x:c r="T151" s="18" t="str">
        <x:v>track-150</x:v>
      </x:c>
      <x:c r="U151" s="18" t="str">
        <x:v>Release/version verify</x:v>
      </x:c>
    </x:row>
    <x:row r="152">
      <x:c r="A152" s="18" t="n">
        <x:v>151</x:v>
      </x:c>
      <x:c r="B152" s="18" t="str">
        <x:v>HH09</x:v>
      </x:c>
      <x:c r="C152" s="18" t="n">
        <x:v>2008</x:v>
      </x:c>
      <x:c r="D152" s="18" t="str">
        <x:v>Lil Wayne</x:v>
      </x:c>
      <x:c r="E152" s="18" t="str">
        <x:v>A Milli</x:v>
      </x:c>
      <x:c r="F152" s="18" t="str">
        <x:v>original Tha Carter III album version</x:v>
      </x:c>
      <x:c r="G152" s="18" t="str">
        <x:v>New Orleans</x:v>
      </x:c>
      <x:c r="H152" s="18" t="str">
        <x:v>mixtape-era; flow; Bangladesh</x:v>
      </x:c>
      <x:c r="I152" s="18" t="str">
        <x:v>Sustained single-loop virtuosity at mainstream scale</x:v>
      </x:c>
      <x:c r="J152" s="18" t="str">
        <x:v>selected_main_route</x:v>
      </x:c>
      <x:c r="K152" s="18" t="str">
        <x:v>verified_musicbrainz</x:v>
      </x:c>
      <x:c r="L152" s="18" t="str">
        <x:v>https://musicbrainz.org/recording/0fbf43cf-1482-4177-b44e-7442390930a4</x:v>
      </x:c>
      <x:c r="M152" s="18" t="str">
        <x:v>resolved_exact</x:v>
      </x:c>
      <x:c r="N152" s="18" t="str">
        <x:v>https://soundcloud.com/lilwayne/a-milli-album-version-explicit</x:v>
      </x:c>
      <x:c r="O152" s="18" t="n">
        <x:v>252944918</x:v>
      </x:c>
      <x:c r="P152" s="18" t="str">
        <x:v>Lil Wayne</x:v>
      </x:c>
      <x:c r="Q152" s="18" t="n">
        <x:v>221806</x:v>
      </x:c>
      <x:c r="R152" s="18" t="str">
        <x:v>subscriber_catalog</x:v>
      </x:c>
      <x:c r="S152" s="18" t="str">
        <x:v>Structured SoundCloud catalog metadata matches artist, title, and intended unaltered version.</x:v>
      </x:c>
      <x:c r="T152" s="18" t="str">
        <x:v>track-151</x:v>
      </x:c>
      <x:c r="U152" s="18" t="str">
        <x:v>Canonical</x:v>
      </x:c>
    </x:row>
    <x:row r="153">
      <x:c r="A153" s="18" t="n">
        <x:v>152</x:v>
      </x:c>
      <x:c r="B153" s="18" t="str">
        <x:v>HH09</x:v>
      </x:c>
      <x:c r="C153" s="18" t="n">
        <x:v>2008</x:v>
      </x:c>
      <x:c r="D153" s="18" t="str">
        <x:v>Kanye West</x:v>
      </x:c>
      <x:c r="E153" s="18" t="str">
        <x:v>Say You Will</x:v>
      </x:c>
      <x:c r="F153" s="18" t="str">
        <x:v>original 808s &amp; Heartbreak album version</x:v>
      </x:c>
      <x:c r="G153" s="18" t="str">
        <x:v>Chicago</x:v>
      </x:c>
      <x:c r="H153" s="18" t="str">
        <x:v>Auto-Tune; minimal; album-form</x:v>
      </x:c>
      <x:c r="I153" s="18" t="str">
        <x:v>Vocal processing emptiness and pop-rap emotional form</x:v>
      </x:c>
      <x:c r="J153" s="18" t="str">
        <x:v>selected_main_route</x:v>
      </x:c>
      <x:c r="K153" s="18" t="str">
        <x:v>verified_musicbrainz</x:v>
      </x:c>
      <x:c r="L153" s="18" t="str">
        <x:v>https://musicbrainz.org/recording/03bd74d1-e7f9-471f-a2b0-f18fd35a4a68</x:v>
      </x:c>
      <x:c r="M153" s="18" t="str">
        <x:v>resolved_exact</x:v>
      </x:c>
      <x:c r="N153" s="18" t="str">
        <x:v>https://soundcloud.com/kanyewest/say-you-will-album-version</x:v>
      </x:c>
      <x:c r="O153" s="18" t="n">
        <x:v>271224579</x:v>
      </x:c>
      <x:c r="P153" s="18" t="str">
        <x:v>Kanye West</x:v>
      </x:c>
      <x:c r="Q153" s="18" t="n">
        <x:v>377626</x:v>
      </x:c>
      <x:c r="R153" s="18" t="str">
        <x:v>subscriber_catalog</x:v>
      </x:c>
      <x:c r="S153" s="18" t="str">
        <x:v>Structured SoundCloud catalog metadata matches artist, title, and intended unaltered version.</x:v>
      </x:c>
      <x:c r="T153" s="18" t="str">
        <x:v>track-152</x:v>
      </x:c>
      <x:c r="U153" s="18" t="str">
        <x:v>Not a conventional rap performance</x:v>
      </x:c>
    </x:row>
    <x:row r="154">
      <x:c r="A154" s="18" t="n">
        <x:v>153</x:v>
      </x:c>
      <x:c r="B154" s="18" t="str">
        <x:v>HH09</x:v>
      </x:c>
      <x:c r="C154" s="18" t="n">
        <x:v>2007</x:v>
      </x:c>
      <x:c r="D154" s="18" t="str">
        <x:v>T-Pain featuring Yung Joc</x:v>
      </x:c>
      <x:c r="E154" s="18" t="str">
        <x:v>Buy U a Drank (Shawty Snappin')</x:v>
      </x:c>
      <x:c r="F154" s="18" t="str">
        <x:v>original Epiphany album version</x:v>
      </x:c>
      <x:c r="G154" s="18" t="str">
        <x:v>Florida</x:v>
      </x:c>
      <x:c r="H154" s="18" t="str">
        <x:v>Auto-Tune; melody; snap</x:v>
      </x:c>
      <x:c r="I154" s="18" t="str">
        <x:v>Auto-Tune as authored instrument rather than correction</x:v>
      </x:c>
      <x:c r="J154" s="18" t="str">
        <x:v>selected_main_route</x:v>
      </x:c>
      <x:c r="K154" s="18" t="str">
        <x:v>verified_musicbrainz</x:v>
      </x:c>
      <x:c r="L154" s="18" t="str">
        <x:v>https://musicbrainz.org/recording/cfeec1b1-dfc7-4262-9466-0af0e4790bed</x:v>
      </x:c>
      <x:c r="M154" s="18" t="str">
        <x:v>resolved_exact</x:v>
      </x:c>
      <x:c r="N154" s="18" t="str">
        <x:v>https://soundcloud.com/t-pain/buy-u-a-drank-shawty-snappin</x:v>
      </x:c>
      <x:c r="O154" s="18" t="n">
        <x:v>257063740</x:v>
      </x:c>
      <x:c r="P154" s="18" t="str">
        <x:v>T-Pain</x:v>
      </x:c>
      <x:c r="Q154" s="18" t="n">
        <x:v>227997</x:v>
      </x:c>
      <x:c r="R154" s="18" t="str">
        <x:v>subscriber_catalog</x:v>
      </x:c>
      <x:c r="S154" s="18" t="str">
        <x:v>Structured SoundCloud catalog metadata matches artist, title, and intended unaltered version.</x:v>
      </x:c>
      <x:c r="T154" s="18" t="str">
        <x:v>track-153</x:v>
      </x:c>
      <x:c r="U154" s="18" t="str">
        <x:v>Canonical technology exhibit</x:v>
      </x:c>
    </x:row>
    <x:row r="155">
      <x:c r="A155" s="18" t="n">
        <x:v>154</x:v>
      </x:c>
      <x:c r="B155" s="18" t="str">
        <x:v>HH09</x:v>
      </x:c>
      <x:c r="C155" s="18" t="n">
        <x:v>2008</x:v>
      </x:c>
      <x:c r="D155" s="18" t="str">
        <x:v>Kid Cudi</x:v>
      </x:c>
      <x:c r="E155" s="18" t="str">
        <x:v>Day 'N' Nite</x:v>
      </x:c>
      <x:c r="F155" s="18" t="str">
        <x:v>original A Kid Named Cudi mixtape version to compare with album</x:v>
      </x:c>
      <x:c r="G155" s="18" t="str">
        <x:v>Cleveland / New York</x:v>
      </x:c>
      <x:c r="H155" s="18" t="str">
        <x:v>blog-rap; melody; interiority</x:v>
      </x:c>
      <x:c r="I155" s="18" t="str">
        <x:v>Blog circulation and melodic interior voice</x:v>
      </x:c>
      <x:c r="J155" s="18" t="str">
        <x:v>selected_main_route</x:v>
      </x:c>
      <x:c r="K155" s="18" t="str">
        <x:v>verified_musicbrainz</x:v>
      </x:c>
      <x:c r="L155" s="18" t="str">
        <x:v>https://musicbrainz.org/recording/efa550e0-43dd-457b-adea-a7c83ff627e6</x:v>
      </x:c>
      <x:c r="M155" s="18" t="str">
        <x:v>resolved_exact</x:v>
      </x:c>
      <x:c r="N155" s="18" t="str">
        <x:v>https://soundcloud.com/cudderland/kid-cudi-day-n-nite</x:v>
      </x:c>
      <x:c r="O155" s="18" t="n">
        <x:v>1301660344</x:v>
      </x:c>
      <x:c r="P155" s="18" t="str">
        <x:v>Kid Cudi</x:v>
      </x:c>
      <x:c r="Q155" s="18" t="n">
        <x:v>168046</x:v>
      </x:c>
      <x:c r="R155" s="18" t="str">
        <x:v>open_or_monetized</x:v>
      </x:c>
      <x:c r="S155" s="18" t="str">
        <x:v>Structured SoundCloud catalog metadata matches artist, title, and intended unaltered version.</x:v>
      </x:c>
      <x:c r="T155" s="18" t="str">
        <x:v>track-154</x:v>
      </x:c>
      <x:c r="U155" s="18" t="str">
        <x:v>Version decision is pedagogically important</x:v>
      </x:c>
    </x:row>
    <x:row r="156">
      <x:c r="A156" s="18" t="n">
        <x:v>155</x:v>
      </x:c>
      <x:c r="B156" s="18" t="str">
        <x:v>HH09</x:v>
      </x:c>
      <x:c r="C156" s="18" t="n">
        <x:v>2010</x:v>
      </x:c>
      <x:c r="D156" s="18" t="str">
        <x:v>Drake</x:v>
      </x:c>
      <x:c r="E156" s="18" t="str">
        <x:v>9AM in Dallas</x:v>
      </x:c>
      <x:c r="F156" s="18" t="str">
        <x:v>original download/single version</x:v>
      </x:c>
      <x:c r="G156" s="18" t="str">
        <x:v>Toronto / Canada</x:v>
      </x:c>
      <x:c r="H156" s="18" t="str">
        <x:v>blog-era; lyrical; internet</x:v>
      </x:c>
      <x:c r="I156" s="18" t="str">
        <x:v>Internet-era loosie and Toronto center formation</x:v>
      </x:c>
      <x:c r="J156" s="18" t="str">
        <x:v>selected_main_route</x:v>
      </x:c>
      <x:c r="K156" s="18" t="str">
        <x:v>verified_musicbrainz</x:v>
      </x:c>
      <x:c r="L156" s="18" t="str">
        <x:v>https://musicbrainz.org/recording/2c45c733-8533-4f7f-a77e-33104059f4f9</x:v>
      </x:c>
      <x:c r="M156" s="18" t="str">
        <x:v>resolved_exact</x:v>
      </x:c>
      <x:c r="N156" s="18" t="str">
        <x:v>https://soundcloud.com/harddrake/9am-in-dallas-1</x:v>
      </x:c>
      <x:c r="O156" s="18" t="n">
        <x:v>543300288</x:v>
      </x:c>
      <x:c r="P156" s="18" t="str">
        <x:v>HardDrake</x:v>
      </x:c>
      <x:c r="Q156" s="18" t="n">
        <x:v>167669</x:v>
      </x:c>
      <x:c r="R156" s="18" t="str">
        <x:v>open_or_monetized</x:v>
      </x:c>
      <x:c r="S156" s="18" t="str">
        <x:v>Structured SoundCloud catalog metadata matches artist, title, and intended unaltered version.</x:v>
      </x:c>
      <x:c r="T156" s="18" t="str">
        <x:v>track-155</x:v>
      </x:c>
      <x:c r="U156" s="18" t="str">
        <x:v>Official upload provenance needed</x:v>
      </x:c>
    </x:row>
    <x:row r="157">
      <x:c r="A157" s="18" t="n">
        <x:v>156</x:v>
      </x:c>
      <x:c r="B157" s="18" t="str">
        <x:v>HH09</x:v>
      </x:c>
      <x:c r="C157" s="18" t="n">
        <x:v>2010</x:v>
      </x:c>
      <x:c r="D157" s="18" t="str">
        <x:v>Waka Flocka Flame</x:v>
      </x:c>
      <x:c r="E157" s="18" t="str">
        <x:v>Hard in da Paint</x:v>
      </x:c>
      <x:c r="F157" s="18" t="str">
        <x:v>original Flockaveli album version</x:v>
      </x:c>
      <x:c r="G157" s="18" t="str">
        <x:v>Atlanta</x:v>
      </x:c>
      <x:c r="H157" s="18" t="str">
        <x:v>Lex-Luger; trap; maximal</x:v>
      </x:c>
      <x:c r="I157" s="18" t="str">
        <x:v>Trap orchestration and shouted physical force</x:v>
      </x:c>
      <x:c r="J157" s="18" t="str">
        <x:v>selected_main_route</x:v>
      </x:c>
      <x:c r="K157" s="18" t="str">
        <x:v>verified_musicbrainz</x:v>
      </x:c>
      <x:c r="L157" s="18" t="str">
        <x:v>https://musicbrainz.org/recording/15c63f38-5f37-4383-bfbe-b3c76b2b88f8</x:v>
      </x:c>
      <x:c r="M157" s="18" t="str">
        <x:v>resolved_exact</x:v>
      </x:c>
      <x:c r="N157" s="18" t="str">
        <x:v>https://soundcloud.com/wakaflockaflame/hard-in-da-paint</x:v>
      </x:c>
      <x:c r="O157" s="18" t="n">
        <x:v>216539782</x:v>
      </x:c>
      <x:c r="P157" s="18" t="str">
        <x:v>Waka Flocka Flame</x:v>
      </x:c>
      <x:c r="Q157" s="18" t="n">
        <x:v>246413</x:v>
      </x:c>
      <x:c r="R157" s="18" t="str">
        <x:v>open_or_monetized</x:v>
      </x:c>
      <x:c r="S157" s="18" t="str">
        <x:v>Structured SoundCloud catalog metadata matches artist, title, and intended unaltered version.</x:v>
      </x:c>
      <x:c r="T157" s="18" t="str">
        <x:v>track-156</x:v>
      </x:c>
      <x:c r="U157" s="18" t="str">
        <x:v>Canonical</x:v>
      </x:c>
    </x:row>
    <x:row r="158">
      <x:c r="A158" s="18" t="n">
        <x:v>157</x:v>
      </x:c>
      <x:c r="B158" s="18" t="str">
        <x:v>HH09</x:v>
      </x:c>
      <x:c r="C158" s="18" t="n">
        <x:v>2009</x:v>
      </x:c>
      <x:c r="D158" s="18" t="str">
        <x:v>Nicki Minaj</x:v>
      </x:c>
      <x:c r="E158" s="18" t="str">
        <x:v>Itty Bitty Piggy</x:v>
      </x:c>
      <x:c r="F158" s="18" t="str">
        <x:v>original Beam Me Up Scotty mixtape version</x:v>
      </x:c>
      <x:c r="G158" s="18" t="str">
        <x:v>Queens / New York</x:v>
      </x:c>
      <x:c r="H158" s="18" t="str">
        <x:v>women; mixtape; battle</x:v>
      </x:c>
      <x:c r="I158" s="18" t="str">
        <x:v>Mixtape persona multiplication and verbal attack</x:v>
      </x:c>
      <x:c r="J158" s="18" t="str">
        <x:v>selected_main_route</x:v>
      </x:c>
      <x:c r="K158" s="18" t="str">
        <x:v>verified_musicbrainz</x:v>
      </x:c>
      <x:c r="L158" s="18" t="str">
        <x:v>https://musicbrainz.org/recording/bfe7bf30-6385-4619-8fac-34e61aacd7ea</x:v>
      </x:c>
      <x:c r="M158" s="18" t="str">
        <x:v>resolved_exact</x:v>
      </x:c>
      <x:c r="N158" s="18" t="str">
        <x:v>https://soundcloud.com/nickiminaj/nicki-minaj-itty-bitty-piggy</x:v>
      </x:c>
      <x:c r="O158" s="18" t="n">
        <x:v>1048549195</x:v>
      </x:c>
      <x:c r="P158" s="18" t="str">
        <x:v>Nicki Minaj</x:v>
      </x:c>
      <x:c r="Q158" s="18" t="n">
        <x:v>246779</x:v>
      </x:c>
      <x:c r="R158" s="18" t="str">
        <x:v>open_or_monetized</x:v>
      </x:c>
      <x:c r="S158" s="18" t="str">
        <x:v>Structured SoundCloud catalog metadata matches artist, title, and intended unaltered version.</x:v>
      </x:c>
      <x:c r="T158" s="18" t="str">
        <x:v>track-157</x:v>
      </x:c>
      <x:c r="U158" s="18" t="str">
        <x:v>Do not substitute later remaster silently</x:v>
      </x:c>
    </x:row>
    <x:row r="159">
      <x:c r="A159" s="18" t="n">
        <x:v>158</x:v>
      </x:c>
      <x:c r="B159" s="18" t="str">
        <x:v>HH09</x:v>
      </x:c>
      <x:c r="C159" s="18" t="n">
        <x:v>2007</x:v>
      </x:c>
      <x:c r="D159" s="18" t="str">
        <x:v>Lupe Fiasco</x:v>
      </x:c>
      <x:c r="E159" s="18" t="str">
        <x:v>Dumb It Down</x:v>
      </x:c>
      <x:c r="F159" s="18" t="str">
        <x:v>original The Cool album version</x:v>
      </x:c>
      <x:c r="G159" s="18" t="str">
        <x:v>Chicago</x:v>
      </x:c>
      <x:c r="H159" s="18" t="str">
        <x:v>lyrical; meta-critique; message</x:v>
      </x:c>
      <x:c r="I159" s="18" t="str">
        <x:v>Argument about audience industry and lyrical complexity</x:v>
      </x:c>
      <x:c r="J159" s="18" t="str">
        <x:v>selected_main_route</x:v>
      </x:c>
      <x:c r="K159" s="18" t="str">
        <x:v>verified_musicbrainz</x:v>
      </x:c>
      <x:c r="L159" s="18" t="str">
        <x:v>https://musicbrainz.org/recording/2176899c-5658-433e-93fa-95b59749e3a3</x:v>
      </x:c>
      <x:c r="M159" s="18" t="str">
        <x:v>resolved_exact</x:v>
      </x:c>
      <x:c r="N159" s="18" t="str">
        <x:v>https://soundcloud.com/lupefiasco/dumb-it-down-feat-gemstones-3</x:v>
      </x:c>
      <x:c r="O159" s="18" t="n">
        <x:v>1203456646</x:v>
      </x:c>
      <x:c r="P159" s="18" t="str">
        <x:v>LupeFiasco</x:v>
      </x:c>
      <x:c r="Q159" s="18" t="n">
        <x:v>243775</x:v>
      </x:c>
      <x:c r="R159" s="18" t="str">
        <x:v>open_or_monetized</x:v>
      </x:c>
      <x:c r="S159" s="18" t="str">
        <x:v>Structured SoundCloud catalog metadata matches artist, title, and intended unaltered version.</x:v>
      </x:c>
      <x:c r="T159" s="18" t="str">
        <x:v>track-158</x:v>
      </x:c>
      <x:c r="U159" s="18" t="str">
        <x:v>Potential Tom route</x:v>
      </x:c>
    </x:row>
    <x:row r="160">
      <x:c r="A160" s="18" t="n">
        <x:v>159</x:v>
      </x:c>
      <x:c r="B160" s="18" t="str">
        <x:v>HH09</x:v>
      </x:c>
      <x:c r="C160" s="18" t="n">
        <x:v>2007</x:v>
      </x:c>
      <x:c r="D160" s="18" t="str">
        <x:v>Blu &amp; Exile</x:v>
      </x:c>
      <x:c r="E160" s="18" t="str">
        <x:v>Dancing in the Rain</x:v>
      </x:c>
      <x:c r="F160" s="18" t="str">
        <x:v>original Below the Heavens album version</x:v>
      </x:c>
      <x:c r="G160" s="18" t="str">
        <x:v>Los Angeles</x:v>
      </x:c>
      <x:c r="H160" s="18" t="str">
        <x:v>independent; introspective; producer-MC</x:v>
      </x:c>
      <x:c r="I160" s="18" t="str">
        <x:v>Independent lyrical album craft beneath commercial surface</x:v>
      </x:c>
      <x:c r="J160" s="18" t="str">
        <x:v>selected_main_route</x:v>
      </x:c>
      <x:c r="K160" s="18" t="str">
        <x:v>verified_musicbrainz</x:v>
      </x:c>
      <x:c r="L160" s="18" t="str">
        <x:v>https://musicbrainz.org/recording/e99161a1-9f90-491e-8592-499312745fa4</x:v>
      </x:c>
      <x:c r="M160" s="18" t="str">
        <x:v>resolved_exact</x:v>
      </x:c>
      <x:c r="N160" s="18" t="str">
        <x:v>https://soundcloud.com/blu-official/dancing-in-the-rain</x:v>
      </x:c>
      <x:c r="O160" s="18" t="n">
        <x:v>1431127366</x:v>
      </x:c>
      <x:c r="P160" s="18" t="str">
        <x:v>Blu-Official</x:v>
      </x:c>
      <x:c r="Q160" s="18" t="n">
        <x:v>267860</x:v>
      </x:c>
      <x:c r="R160" s="18" t="str">
        <x:v>open_or_monetized</x:v>
      </x:c>
      <x:c r="S160" s="18" t="str">
        <x:v>Structured SoundCloud catalog metadata matches artist, title, and intended unaltered version.</x:v>
      </x:c>
      <x:c r="T160" s="18" t="str">
        <x:v>track-159</x:v>
      </x:c>
      <x:c r="U160" s="18" t="str">
        <x:v>Connoisseur anchor</x:v>
      </x:c>
    </x:row>
    <x:row r="161">
      <x:c r="A161" s="18" t="n">
        <x:v>160</x:v>
      </x:c>
      <x:c r="B161" s="18" t="str">
        <x:v>HH09</x:v>
      </x:c>
      <x:c r="C161" s="18" t="n">
        <x:v>2009</x:v>
      </x:c>
      <x:c r="D161" s="18" t="str">
        <x:v>Rye Rye featuring M.I.A.</x:v>
      </x:c>
      <x:c r="E161" s="18" t="str">
        <x:v>Bang</x:v>
      </x:c>
      <x:c r="F161" s="18" t="str">
        <x:v>original single version</x:v>
      </x:c>
      <x:c r="G161" s="18" t="str">
        <x:v>Baltimore</x:v>
      </x:c>
      <x:c r="H161" s="18" t="str">
        <x:v>women; Baltimore-club; dance; rap</x:v>
      </x:c>
      <x:c r="I161" s="18" t="str">
        <x:v>Baltimore club-rap exchange and teenage woman performance</x:v>
      </x:c>
      <x:c r="J161" s="18" t="str">
        <x:v>selected_main_route</x:v>
      </x:c>
      <x:c r="K161" s="18" t="str">
        <x:v>verified_musicbrainz</x:v>
      </x:c>
      <x:c r="L161" s="18" t="str">
        <x:v>https://musicbrainz.org/recording/16258751-346f-414f-b775-ad51fd8ff85a</x:v>
      </x:c>
      <x:c r="M161" s="18" t="str">
        <x:v>resolved_exact</x:v>
      </x:c>
      <x:c r="N161" s="18" t="str">
        <x:v>https://soundcloud.com/rye-rye-official/bang-1</x:v>
      </x:c>
      <x:c r="O161" s="18" t="n">
        <x:v>253560611</x:v>
      </x:c>
      <x:c r="P161" s="18" t="str">
        <x:v>Rye Rye</x:v>
      </x:c>
      <x:c r="Q161" s="18" t="n">
        <x:v>212611</x:v>
      </x:c>
      <x:c r="R161" s="18" t="str">
        <x:v>subscriber_catalog</x:v>
      </x:c>
      <x:c r="S161" s="18" t="str">
        <x:v>Structured SoundCloud catalog metadata matches artist, title, and intended unaltered version.</x:v>
      </x:c>
      <x:c r="T161" s="18" t="str">
        <x:v>track-160</x:v>
      </x:c>
      <x:c r="U161" s="18" t="str">
        <x:v>Version and feature credit verify</x:v>
      </x:c>
    </x:row>
    <x:row r="162">
      <x:c r="A162" s="18" t="n">
        <x:v>161</x:v>
      </x:c>
      <x:c r="B162" s="18" t="str">
        <x:v>HH09</x:v>
      </x:c>
      <x:c r="C162" s="18" t="n">
        <x:v>2010</x:v>
      </x:c>
      <x:c r="D162" s="18" t="str">
        <x:v>Lil B</x:v>
      </x:c>
      <x:c r="E162" s="18" t="str">
        <x:v>Wonton Soup</x:v>
      </x:c>
      <x:c r="F162" s="18" t="str">
        <x:v>original internet release</x:v>
      </x:c>
      <x:c r="G162" s="18" t="str">
        <x:v>Bay Area</x:v>
      </x:c>
      <x:c r="H162" s="18" t="str">
        <x:v>cloud-precursor; internet; persona</x:v>
      </x:c>
      <x:c r="I162" s="18" t="str">
        <x:v>Abundance altered persona and anti-gatekeeping circulation</x:v>
      </x:c>
      <x:c r="J162" s="18" t="str">
        <x:v>selected_main_route</x:v>
      </x:c>
      <x:c r="K162" s="18" t="str">
        <x:v>verified_musicbrainz</x:v>
      </x:c>
      <x:c r="L162" s="18" t="str">
        <x:v>https://musicbrainz.org/recording/eba9bcde-c494-4109-a1c8-443303f321b3</x:v>
      </x:c>
      <x:c r="M162" s="18" t="str">
        <x:v>resolved_exact_unofficial</x:v>
      </x:c>
      <x:c r="N162" s="18" t="str">
        <x:v>https://soundcloud.com/lilblovesthebasedgod/wonton-soup</x:v>
      </x:c>
      <x:c r="O162" s="18" t="n">
        <x:v>683430446</x:v>
      </x:c>
      <x:c r="P162" s="18" t="str">
        <x:v>LilBTheBasedGod</x:v>
      </x:c>
      <x:c r="Q162" s="18" t="n">
        <x:v>339257</x:v>
      </x:c>
      <x:c r="R162" s="18" t="str">
        <x:v>open_or_monetized</x:v>
      </x:c>
      <x:c r="S162" s="18" t="str">
        <x:v>Title, artist evidence, and duration match; uploader provenance is not artist-controlled.</x:v>
      </x:c>
      <x:c r="T162" s="18" t="str">
        <x:v>track-161</x:v>
      </x:c>
      <x:c r="U162" s="18" t="str">
        <x:v>Exact original upload provenance difficult</x:v>
      </x:c>
    </x:row>
    <x:row r="163">
      <x:c r="A163" s="18" t="n">
        <x:v>162</x:v>
      </x:c>
      <x:c r="B163" s="18" t="str">
        <x:v>HH09</x:v>
      </x:c>
      <x:c r="C163" s="18" t="n">
        <x:v>2007</x:v>
      </x:c>
      <x:c r="D163" s="18" t="str">
        <x:v>Giggs</x:v>
      </x:c>
      <x:c r="E163" s="18" t="str">
        <x:v>Talkin da Hardest</x:v>
      </x:c>
      <x:c r="F163" s="18" t="str">
        <x:v>original freestyle/mixtape version</x:v>
      </x:c>
      <x:c r="G163" s="18" t="str">
        <x:v>London / United Kingdom</x:v>
      </x:c>
      <x:c r="H163" s="18" t="str">
        <x:v>road-rap; UK-rap; street</x:v>
      </x:c>
      <x:c r="I163" s="18" t="str">
        <x:v>British road-rap cadence and independent circulation</x:v>
      </x:c>
      <x:c r="J163" s="18" t="str">
        <x:v>selected_main_route</x:v>
      </x:c>
      <x:c r="K163" s="18" t="str">
        <x:v>verified_musicbrainz</x:v>
      </x:c>
      <x:c r="L163" s="18" t="str">
        <x:v>https://musicbrainz.org/recording/dd022f9b-baf6-4d38-b05a-ad0591121c87</x:v>
      </x:c>
      <x:c r="M163" s="18" t="str">
        <x:v>resolved_exact</x:v>
      </x:c>
      <x:c r="N163" s="18" t="str">
        <x:v>https://soundcloud.com/giggs-official/talkin-da-hardest</x:v>
      </x:c>
      <x:c r="O163" s="18" t="n">
        <x:v>2069856984</x:v>
      </x:c>
      <x:c r="P163" s="18" t="str">
        <x:v>Giggs</x:v>
      </x:c>
      <x:c r="Q163" s="18" t="n">
        <x:v>158041</x:v>
      </x:c>
      <x:c r="R163" s="18" t="str">
        <x:v>open_or_monetized</x:v>
      </x:c>
      <x:c r="S163" s="18" t="str">
        <x:v>Structured SoundCloud catalog metadata matches artist, title, and intended unaltered version.</x:v>
      </x:c>
      <x:c r="T163" s="18" t="str">
        <x:v>track-162</x:v>
      </x:c>
      <x:c r="U163" s="18" t="str">
        <x:v>Version/source audit required</x:v>
      </x:c>
    </x:row>
    <x:row r="164">
      <x:c r="A164" s="18" t="n">
        <x:v>163</x:v>
      </x:c>
      <x:c r="B164" s="18" t="str">
        <x:v>HH09</x:v>
      </x:c>
      <x:c r="C164" s="18" t="n">
        <x:v>2010</x:v>
      </x:c>
      <x:c r="D164" s="18" t="str">
        <x:v>Ana Tijoux</x:v>
      </x:c>
      <x:c r="E164" s="18" t="str">
        <x:v>1977</x:v>
      </x:c>
      <x:c r="F164" s="18" t="str">
        <x:v>original 1977 album version</x:v>
      </x:c>
      <x:c r="G164" s="18" t="str">
        <x:v>Chile</x:v>
      </x:c>
      <x:c r="H164" s="18" t="str">
        <x:v>women; Chilean-rap; Spanish-language; autobiography</x:v>
      </x:c>
      <x:c r="I164" s="18" t="str">
        <x:v>Chilean autobiographical rap and transnational return narrative</x:v>
      </x:c>
      <x:c r="J164" s="18" t="str">
        <x:v>selected_main_route</x:v>
      </x:c>
      <x:c r="K164" s="18" t="str">
        <x:v>verified_musicbrainz</x:v>
      </x:c>
      <x:c r="L164" s="18" t="str">
        <x:v>https://musicbrainz.org/recording/4e259ac3-e60b-447c-b3d4-297b28003800</x:v>
      </x:c>
      <x:c r="M164" s="18" t="str">
        <x:v>resolved_exact</x:v>
      </x:c>
      <x:c r="N164" s="18" t="str">
        <x:v>https://soundcloud.com/ana-tijoux-official/1977-1</x:v>
      </x:c>
      <x:c r="O164" s="18" t="n">
        <x:v>253357383</x:v>
      </x:c>
      <x:c r="P164" s="18" t="str">
        <x:v>Ana Tijoux</x:v>
      </x:c>
      <x:c r="Q164" s="18" t="n">
        <x:v>202031</x:v>
      </x:c>
      <x:c r="R164" s="18" t="str">
        <x:v>open_or_monetized</x:v>
      </x:c>
      <x:c r="S164" s="18" t="str">
        <x:v>Structured SoundCloud catalog metadata matches artist, title, and intended unaltered version.</x:v>
      </x:c>
      <x:c r="T164" s="18" t="str">
        <x:v>track-163</x:v>
      </x:c>
      <x:c r="U164" s="18" t="str">
        <x:v>Translation and exact issue verify</x:v>
      </x:c>
    </x:row>
    <x:row r="165">
      <x:c r="A165" s="18" t="n">
        <x:v>164</x:v>
      </x:c>
      <x:c r="B165" s="18" t="str">
        <x:v>HH09</x:v>
      </x:c>
      <x:c r="C165" s="18" t="n">
        <x:v>2008</x:v>
      </x:c>
      <x:c r="D165" s="18" t="str">
        <x:v>Ben Sharpa</x:v>
      </x:c>
      <x:c r="E165" s="18" t="str">
        <x:v>Hegemony</x:v>
      </x:c>
      <x:c r="F165" s="18" t="str">
        <x:v>original B. Sharpa album version</x:v>
      </x:c>
      <x:c r="G165" s="18" t="str">
        <x:v>Cape Town / South Africa</x:v>
      </x:c>
      <x:c r="H165" s="18" t="str">
        <x:v>African-hip-hop; electronic; political</x:v>
      </x:c>
      <x:c r="I165" s="18" t="str">
        <x:v>South African political abstraction over severe electronics</x:v>
      </x:c>
      <x:c r="J165" s="18" t="str">
        <x:v>selected_main_route</x:v>
      </x:c>
      <x:c r="K165" s="18" t="str">
        <x:v>verified_musicbrainz</x:v>
      </x:c>
      <x:c r="L165" s="18" t="str">
        <x:v>https://musicbrainz.org/recording/907dc12c-e8d1-4828-bc0e-0a399c955022</x:v>
      </x:c>
      <x:c r="M165" s="18" t="str">
        <x:v>resolved_exact</x:v>
      </x:c>
      <x:c r="N165" s="18" t="str">
        <x:v>https://soundcloud.com/bensharpa-music/hegemony</x:v>
      </x:c>
      <x:c r="O165" s="18" t="n">
        <x:v>2234448494</x:v>
      </x:c>
      <x:c r="P165" s="18" t="str">
        <x:v>Ben Sharpa</x:v>
      </x:c>
      <x:c r="Q165" s="18" t="n">
        <x:v>252055</x:v>
      </x:c>
      <x:c r="R165" s="18" t="str">
        <x:v>open_or_monetized</x:v>
      </x:c>
      <x:c r="S165" s="18" t="str">
        <x:v>Structured SoundCloud catalog metadata matches artist, title, and intended unaltered version.</x:v>
      </x:c>
      <x:c r="T165" s="18" t="str">
        <x:v>track-164</x:v>
      </x:c>
      <x:c r="U165" s="18" t="str">
        <x:v>Release/source verify</x:v>
      </x:c>
    </x:row>
    <x:row r="166">
      <x:c r="A166" s="18" t="n">
        <x:v>165</x:v>
      </x:c>
      <x:c r="B166" s="18" t="str">
        <x:v>HH09</x:v>
      </x:c>
      <x:c r="C166" s="18" t="n">
        <x:v>2010</x:v>
      </x:c>
      <x:c r="D166" s="18" t="str">
        <x:v>Shadia Mansour featuring M-1</x:v>
      </x:c>
      <x:c r="E166" s="18" t="str">
        <x:v>Al Kufiyyeh 3Arabeyyeh</x:v>
      </x:c>
      <x:c r="F166" s="18" t="str">
        <x:v>original version</x:v>
      </x:c>
      <x:c r="G166" s="18" t="str">
        <x:v>Palestine / United Kingdom</x:v>
      </x:c>
      <x:c r="H166" s="18" t="str">
        <x:v>Arabic-rap; diaspora; political</x:v>
      </x:c>
      <x:c r="I166" s="18" t="str">
        <x:v>Arabic flow diaspora and Palestinian political symbol</x:v>
      </x:c>
      <x:c r="J166" s="18" t="str">
        <x:v>selected_main_route</x:v>
      </x:c>
      <x:c r="K166" s="18" t="str">
        <x:v>metadata_source_incomplete</x:v>
      </x:c>
      <x:c r="L166" s="18" t="str">
        <x:v>https://musicbrainz.org/ws/2/recording/?query=recording%3A%22Al+Kufiyyeh+3Arabeyyeh%22+AND+artist%3A%22Shadia+Mansour%22&amp;fmt=json&amp;limit=8</x:v>
      </x:c>
      <x:c r="M166" s="18" t="str">
        <x:v>resolved_exact_unofficial</x:v>
      </x:c>
      <x:c r="N166" s="18" t="str">
        <x:v>https://soundcloud.com/33rpmvoices/shadia-mansour-al-kufiyyeh</x:v>
      </x:c>
      <x:c r="O166" s="18" t="n">
        <x:v>110241301</x:v>
      </x:c>
      <x:c r="P166" s="18" t="str">
        <x:v>33rpmvoices</x:v>
      </x:c>
      <x:c r="Q166" s="18" t="n">
        <x:v>259498</x:v>
      </x:c>
      <x:c r="R166" s="18" t="str">
        <x:v>open_or_monetized</x:v>
      </x:c>
      <x:c r="S166" s="18" t="str">
        <x:v>Title and duration match the original recording; uploader is not artist-controlled.</x:v>
      </x:c>
      <x:c r="T166" s="18" t="str">
        <x:v>track-165</x:v>
      </x:c>
      <x:c r="U166" s="18" t="str">
        <x:v>Transliteration/version verification required</x:v>
      </x:c>
    </x:row>
    <x:row r="167">
      <x:c r="A167" s="18" t="n">
        <x:v>166</x:v>
      </x:c>
      <x:c r="B167" s="18" t="str">
        <x:v>HH09</x:v>
      </x:c>
      <x:c r="C167" s="18" t="n">
        <x:v>2008</x:v>
      </x:c>
      <x:c r="D167" s="18" t="str">
        <x:v>Emicida</x:v>
      </x:c>
      <x:c r="E167" s="18" t="str">
        <x:v>Triunfo</x:v>
      </x:c>
      <x:c r="F167" s="18" t="str">
        <x:v>original mixtape/single version</x:v>
      </x:c>
      <x:c r="G167" s="18" t="str">
        <x:v>São Paulo / Brazil</x:v>
      </x:c>
      <x:c r="H167" s="18" t="str">
        <x:v>Brazilian-rap; battle; independent</x:v>
      </x:c>
      <x:c r="I167" s="18" t="str">
        <x:v>Battle circuit and independent Brazilian breakthrough</x:v>
      </x:c>
      <x:c r="J167" s="18" t="str">
        <x:v>selected_main_route</x:v>
      </x:c>
      <x:c r="K167" s="18" t="str">
        <x:v>verified_musicbrainz</x:v>
      </x:c>
      <x:c r="L167" s="18" t="str">
        <x:v>https://musicbrainz.org/recording/c2b75c9d-ea2b-4d16-aa79-5bc80365bfd3</x:v>
      </x:c>
      <x:c r="M167" s="18" t="str">
        <x:v>resolved_exact</x:v>
      </x:c>
      <x:c r="N167" s="18" t="str">
        <x:v>https://soundcloud.com/emicida-official/triunfo-1</x:v>
      </x:c>
      <x:c r="O167" s="18" t="n">
        <x:v>1253971990</x:v>
      </x:c>
      <x:c r="P167" s="18" t="str">
        <x:v>Emicida</x:v>
      </x:c>
      <x:c r="Q167" s="18" t="n">
        <x:v>151197</x:v>
      </x:c>
      <x:c r="R167" s="18" t="str">
        <x:v>open_or_monetized</x:v>
      </x:c>
      <x:c r="S167" s="18" t="str">
        <x:v>Structured SoundCloud catalog metadata matches artist, title, and intended unaltered version.</x:v>
      </x:c>
      <x:c r="T167" s="18" t="str">
        <x:v>track-166</x:v>
      </x:c>
      <x:c r="U167" s="18" t="str">
        <x:v>Original release provenance required</x:v>
      </x:c>
    </x:row>
    <x:row r="168">
      <x:c r="A168" s="18" t="n">
        <x:v>167</x:v>
      </x:c>
      <x:c r="B168" s="18" t="str">
        <x:v>HH10</x:v>
      </x:c>
      <x:c r="C168" s="18" t="n">
        <x:v>2012</x:v>
      </x:c>
      <x:c r="D168" s="18" t="str">
        <x:v>Chief Keef featuring Lil Reese</x:v>
      </x:c>
      <x:c r="E168" s="18" t="str">
        <x:v>I Don't Like</x:v>
      </x:c>
      <x:c r="F168" s="18" t="str">
        <x:v>original Back from the Dead version</x:v>
      </x:c>
      <x:c r="G168" s="18" t="str">
        <x:v>Chicago</x:v>
      </x:c>
      <x:c r="H168" s="18" t="str">
        <x:v>Chicago-drill; internet; youth</x:v>
      </x:c>
      <x:c r="I168" s="18" t="str">
        <x:v>Drill minimalism repetition and decentralized breakthrough</x:v>
      </x:c>
      <x:c r="J168" s="18" t="str">
        <x:v>selected_main_route</x:v>
      </x:c>
      <x:c r="K168" s="18" t="str">
        <x:v>verified_musicbrainz</x:v>
      </x:c>
      <x:c r="L168" s="18" t="str">
        <x:v>https://musicbrainz.org/recording/12c0fca8-4b35-4a80-a350-d0697fed6287</x:v>
      </x:c>
      <x:c r="M168" s="18" t="str">
        <x:v>resolved_exact</x:v>
      </x:c>
      <x:c r="N168" s="18" t="str">
        <x:v>https://soundcloud.com/chiefkeef/i-dont-like-explicit-version</x:v>
      </x:c>
      <x:c r="O168" s="18" t="n">
        <x:v>271224922</x:v>
      </x:c>
      <x:c r="P168" s="18" t="str">
        <x:v>ChiefKeef</x:v>
      </x:c>
      <x:c r="Q168" s="18" t="n">
        <x:v>293878</x:v>
      </x:c>
      <x:c r="R168" s="18" t="str">
        <x:v>open_or_monetized</x:v>
      </x:c>
      <x:c r="S168" s="18" t="str">
        <x:v>Structured SoundCloud catalog metadata matches artist, title, and intended unaltered version.</x:v>
      </x:c>
      <x:c r="T168" s="18" t="str">
        <x:v>track-167</x:v>
      </x:c>
      <x:c r="U168" s="18" t="str">
        <x:v>Do not default to Kanye remix</x:v>
      </x:c>
    </x:row>
    <x:row r="169">
      <x:c r="A169" s="18" t="n">
        <x:v>168</x:v>
      </x:c>
      <x:c r="B169" s="18" t="str">
        <x:v>HH10</x:v>
      </x:c>
      <x:c r="C169" s="18" t="n">
        <x:v>2012</x:v>
      </x:c>
      <x:c r="D169" s="18" t="str">
        <x:v>Angel Haze</x:v>
      </x:c>
      <x:c r="E169" s="18" t="str">
        <x:v>Werkin' Girls</x:v>
      </x:c>
      <x:c r="F169" s="18" t="str">
        <x:v>original Reservation mixtape version</x:v>
      </x:c>
      <x:c r="G169" s="18" t="str">
        <x:v>Detroit / New York</x:v>
      </x:c>
      <x:c r="H169" s="18" t="str">
        <x:v>women; queer; battle; mixtape</x:v>
      </x:c>
      <x:c r="I169" s="18" t="str">
        <x:v>Queer woman technical aggression and mixtape-era internet circulation</x:v>
      </x:c>
      <x:c r="J169" s="18" t="str">
        <x:v>selected_main_route</x:v>
      </x:c>
      <x:c r="K169" s="18" t="str">
        <x:v>verified_musicbrainz</x:v>
      </x:c>
      <x:c r="L169" s="18" t="str">
        <x:v>https://musicbrainz.org/recording/c67dd516-23ef-42e9-a1f1-f72e112f1694</x:v>
      </x:c>
      <x:c r="M169" s="18" t="str">
        <x:v>resolved_exact</x:v>
      </x:c>
      <x:c r="N169" s="18" t="str">
        <x:v>https://soundcloud.com/angxlhxze/werkin-girls-1</x:v>
      </x:c>
      <x:c r="O169" s="18" t="n">
        <x:v>256197198</x:v>
      </x:c>
      <x:c r="P169" s="18" t="str">
        <x:v>Angel Haze</x:v>
      </x:c>
      <x:c r="Q169" s="18" t="n">
        <x:v>189571</x:v>
      </x:c>
      <x:c r="R169" s="18" t="str">
        <x:v>subscriber_catalog</x:v>
      </x:c>
      <x:c r="S169" s="18" t="str">
        <x:v>Structured SoundCloud catalog metadata matches artist, title, and intended unaltered version.</x:v>
      </x:c>
      <x:c r="T169" s="18" t="str">
        <x:v>track-168</x:v>
      </x:c>
      <x:c r="U169" s="18" t="str">
        <x:v>Original mixtape master and artist context</x:v>
      </x:c>
    </x:row>
    <x:row r="170">
      <x:c r="A170" s="18" t="n">
        <x:v>169</x:v>
      </x:c>
      <x:c r="B170" s="18" t="str">
        <x:v>HH10</x:v>
      </x:c>
      <x:c r="C170" s="18" t="n">
        <x:v>2014</x:v>
      </x:c>
      <x:c r="D170" s="18" t="str">
        <x:v>Future</x:v>
      </x:c>
      <x:c r="E170" s="18" t="str">
        <x:v>Codeine Crazy</x:v>
      </x:c>
      <x:c r="F170" s="18" t="str">
        <x:v>original Monster mixtape version</x:v>
      </x:c>
      <x:c r="G170" s="18" t="str">
        <x:v>Atlanta</x:v>
      </x:c>
      <x:c r="H170" s="18" t="str">
        <x:v>trap; Auto-Tune; interiority</x:v>
      </x:c>
      <x:c r="I170" s="18" t="str">
        <x:v>Melodic trap grief intoxication and long-form escalation</x:v>
      </x:c>
      <x:c r="J170" s="18" t="str">
        <x:v>selected_main_route</x:v>
      </x:c>
      <x:c r="K170" s="18" t="str">
        <x:v>verified_musicbrainz</x:v>
      </x:c>
      <x:c r="L170" s="18" t="str">
        <x:v>https://musicbrainz.org/recording/4e795479-3483-4c9e-8090-734ceea61c38</x:v>
      </x:c>
      <x:c r="M170" s="18" t="str">
        <x:v>resolved_exact</x:v>
      </x:c>
      <x:c r="N170" s="18" t="str">
        <x:v>https://soundcloud.com/futureisnow/codeine-crazy</x:v>
      </x:c>
      <x:c r="O170" s="18" t="n">
        <x:v>185913096</x:v>
      </x:c>
      <x:c r="P170" s="18" t="str">
        <x:v>Future</x:v>
      </x:c>
      <x:c r="Q170" s="18" t="n">
        <x:v>346958</x:v>
      </x:c>
      <x:c r="R170" s="18" t="str">
        <x:v>subscriber_catalog</x:v>
      </x:c>
      <x:c r="S170" s="18" t="str">
        <x:v>Structured SoundCloud catalog metadata matches artist, title, and intended unaltered version.</x:v>
      </x:c>
      <x:c r="T170" s="18" t="str">
        <x:v>track-169</x:v>
      </x:c>
      <x:c r="U170" s="18" t="str">
        <x:v>Exact mixtape version</x:v>
      </x:c>
    </x:row>
    <x:row r="171">
      <x:c r="A171" s="18" t="n">
        <x:v>170</x:v>
      </x:c>
      <x:c r="B171" s="18" t="str">
        <x:v>HH10</x:v>
      </x:c>
      <x:c r="C171" s="18" t="n">
        <x:v>2014</x:v>
      </x:c>
      <x:c r="D171" s="18" t="str">
        <x:v>Rich Gang featuring Young Thug and Rich Homie Quan</x:v>
      </x:c>
      <x:c r="E171" s="18" t="str">
        <x:v>Lifestyle</x:v>
      </x:c>
      <x:c r="F171" s="18" t="str">
        <x:v>original single version</x:v>
      </x:c>
      <x:c r="G171" s="18" t="str">
        <x:v>Atlanta</x:v>
      </x:c>
      <x:c r="H171" s="18" t="str">
        <x:v>melodic-trap; vocal-timbre; producer</x:v>
      </x:c>
      <x:c r="I171" s="18" t="str">
        <x:v>Voice as elastic timbre and post-lexical hook</x:v>
      </x:c>
      <x:c r="J171" s="18" t="str">
        <x:v>selected_main_route</x:v>
      </x:c>
      <x:c r="K171" s="18" t="str">
        <x:v>verified_musicbrainz</x:v>
      </x:c>
      <x:c r="L171" s="18" t="str">
        <x:v>https://musicbrainz.org/recording/d1d2db47-bfb9-4e1b-98a1-e6b85bee3eb8</x:v>
      </x:c>
      <x:c r="M171" s="18" t="str">
        <x:v>resolved_exact</x:v>
      </x:c>
      <x:c r="N171" s="18" t="str">
        <x:v>https://soundcloud.com/rich-gang-official/lifestyle-1</x:v>
      </x:c>
      <x:c r="O171" s="18" t="n">
        <x:v>252548184</x:v>
      </x:c>
      <x:c r="P171" s="18" t="str">
        <x:v>Rich Gang</x:v>
      </x:c>
      <x:c r="Q171" s="18" t="n">
        <x:v>269740</x:v>
      </x:c>
      <x:c r="R171" s="18" t="str">
        <x:v>subscriber_catalog</x:v>
      </x:c>
      <x:c r="S171" s="18" t="str">
        <x:v>Structured SoundCloud catalog metadata matches artist, title, and intended unaltered version.</x:v>
      </x:c>
      <x:c r="T171" s="18" t="str">
        <x:v>track-170</x:v>
      </x:c>
      <x:c r="U171" s="18" t="str">
        <x:v>Credit exact featured artists</x:v>
      </x:c>
    </x:row>
    <x:row r="172">
      <x:c r="A172" s="18" t="n">
        <x:v>171</x:v>
      </x:c>
      <x:c r="B172" s="18" t="str">
        <x:v>HH10</x:v>
      </x:c>
      <x:c r="C172" s="18" t="n">
        <x:v>2014</x:v>
      </x:c>
      <x:c r="D172" s="18" t="str">
        <x:v>Migos</x:v>
      </x:c>
      <x:c r="E172" s="18" t="str">
        <x:v>Fight Night</x:v>
      </x:c>
      <x:c r="F172" s="18" t="str">
        <x:v>original No Label 2 mixtape version</x:v>
      </x:c>
      <x:c r="G172" s="18" t="str">
        <x:v>Atlanta</x:v>
      </x:c>
      <x:c r="H172" s="18" t="str">
        <x:v>triplet-flow; trap; trio</x:v>
      </x:c>
      <x:c r="I172" s="18" t="str">
        <x:v>Interlocking trio rhythm beyond reductive triplet label</x:v>
      </x:c>
      <x:c r="J172" s="18" t="str">
        <x:v>selected_main_route</x:v>
      </x:c>
      <x:c r="K172" s="18" t="str">
        <x:v>verified_musicbrainz</x:v>
      </x:c>
      <x:c r="L172" s="18" t="str">
        <x:v>https://musicbrainz.org/recording/acef03f0-5cb2-4856-90cf-8fa34624a088</x:v>
      </x:c>
      <x:c r="M172" s="18" t="str">
        <x:v>resolved_exact</x:v>
      </x:c>
      <x:c r="N172" s="18" t="str">
        <x:v>https://soundcloud.com/migosatl/migos-fight-night</x:v>
      </x:c>
      <x:c r="O172" s="18" t="n">
        <x:v>136874746</x:v>
      </x:c>
      <x:c r="P172" s="18" t="str">
        <x:v>Migos</x:v>
      </x:c>
      <x:c r="Q172" s="18" t="n">
        <x:v>216294</x:v>
      </x:c>
      <x:c r="R172" s="18" t="str">
        <x:v>subscriber_catalog</x:v>
      </x:c>
      <x:c r="S172" s="18" t="str">
        <x:v>Structured SoundCloud catalog metadata matches artist, title, and intended unaltered version.</x:v>
      </x:c>
      <x:c r="T172" s="18" t="str">
        <x:v>track-171</x:v>
      </x:c>
      <x:c r="U172" s="18" t="str">
        <x:v>Mixtape master preferred</x:v>
      </x:c>
    </x:row>
    <x:row r="173">
      <x:c r="A173" s="18" t="n">
        <x:v>172</x:v>
      </x:c>
      <x:c r="B173" s="18" t="str">
        <x:v>HH10</x:v>
      </x:c>
      <x:c r="C173" s="18" t="n">
        <x:v>2012</x:v>
      </x:c>
      <x:c r="D173" s="18" t="str">
        <x:v>Kendrick Lamar</x:v>
      </x:c>
      <x:c r="E173" s="18" t="str">
        <x:v>Sing About Me, I'm Dying of Thirst</x:v>
      </x:c>
      <x:c r="F173" s="18" t="str">
        <x:v>original good kid m.A.A.d city album version</x:v>
      </x:c>
      <x:c r="G173" s="18" t="str">
        <x:v>Compton / California</x:v>
      </x:c>
      <x:c r="H173" s="18" t="str">
        <x:v>narrative; concept-album; message</x:v>
      </x:c>
      <x:c r="I173" s="18" t="str">
        <x:v>Multiple narrated voices moral argument and album-scale form</x:v>
      </x:c>
      <x:c r="J173" s="18" t="str">
        <x:v>selected_main_route</x:v>
      </x:c>
      <x:c r="K173" s="18" t="str">
        <x:v>verified_musicbrainz</x:v>
      </x:c>
      <x:c r="L173" s="18" t="str">
        <x:v>https://musicbrainz.org/recording/f0fc2708-edfa-431c-80bd-305796cc5a48</x:v>
      </x:c>
      <x:c r="M173" s="18" t="str">
        <x:v>resolved_exact</x:v>
      </x:c>
      <x:c r="N173" s="18" t="str">
        <x:v>https://soundcloud.com/kendrick-lamar-music/sing-about-me-im-dying-of</x:v>
      </x:c>
      <x:c r="O173" s="18" t="n">
        <x:v>252602454</x:v>
      </x:c>
      <x:c r="P173" s="18" t="str">
        <x:v>Kendrick Lamar</x:v>
      </x:c>
      <x:c r="Q173" s="18" t="n">
        <x:v>723710</x:v>
      </x:c>
      <x:c r="R173" s="18" t="str">
        <x:v>subscriber_catalog</x:v>
      </x:c>
      <x:c r="S173" s="18" t="str">
        <x:v>Structured SoundCloud catalog metadata matches artist, title, and intended unaltered version.</x:v>
      </x:c>
      <x:c r="T173" s="18" t="str">
        <x:v>track-172</x:v>
      </x:c>
      <x:c r="U173" s="18" t="str">
        <x:v>Long-form anchor</x:v>
      </x:c>
    </x:row>
    <x:row r="174">
      <x:c r="A174" s="18" t="n">
        <x:v>173</x:v>
      </x:c>
      <x:c r="B174" s="18" t="str">
        <x:v>HH10</x:v>
      </x:c>
      <x:c r="C174" s="18" t="n">
        <x:v>2014</x:v>
      </x:c>
      <x:c r="D174" s="18" t="str">
        <x:v>Run the Jewels featuring Zack de la Rocha</x:v>
      </x:c>
      <x:c r="E174" s="18" t="str">
        <x:v>Close Your Eyes (And Count to F***)</x:v>
      </x:c>
      <x:c r="F174" s="18" t="str">
        <x:v>original RTJ2 version</x:v>
      </x:c>
      <x:c r="G174" s="18" t="str">
        <x:v>United States</x:v>
      </x:c>
      <x:c r="H174" s="18" t="str">
        <x:v>political; industrial; duo</x:v>
      </x:c>
      <x:c r="I174" s="18" t="str">
        <x:v>Physical production and adversarial political exchange</x:v>
      </x:c>
      <x:c r="J174" s="18" t="str">
        <x:v>selected_main_route</x:v>
      </x:c>
      <x:c r="K174" s="18" t="str">
        <x:v>verified_soundcloud_catalog</x:v>
      </x:c>
      <x:c r="L174" s="18" t="str">
        <x:v>https://soundcloud.com/runthejewels/close-your-eyes-and-count-to</x:v>
      </x:c>
      <x:c r="M174" s="18" t="str">
        <x:v>resolved_exact</x:v>
      </x:c>
      <x:c r="N174" s="18" t="str">
        <x:v>https://soundcloud.com/runthejewels/close-your-eyes-and-count-to</x:v>
      </x:c>
      <x:c r="O174" s="18" t="n">
        <x:v>257948122</x:v>
      </x:c>
      <x:c r="P174" s="18" t="str">
        <x:v>Run The Jewels</x:v>
      </x:c>
      <x:c r="Q174" s="18" t="n">
        <x:v>234187</x:v>
      </x:c>
      <x:c r="R174" s="18" t="str">
        <x:v>open_or_monetized</x:v>
      </x:c>
      <x:c r="S174" s="18" t="str">
        <x:v>Artist-catalog RTJ2 recording; a later live performance was rejected.</x:v>
      </x:c>
      <x:c r="T174" s="18" t="str">
        <x:v>track-173</x:v>
      </x:c>
      <x:c r="U174" s="18" t="str">
        <x:v>Explicit title preserved</x:v>
      </x:c>
    </x:row>
    <x:row r="175">
      <x:c r="A175" s="18" t="n">
        <x:v>174</x:v>
      </x:c>
      <x:c r="B175" s="18" t="str">
        <x:v>HH10</x:v>
      </x:c>
      <x:c r="C175" s="18" t="n">
        <x:v>2012</x:v>
      </x:c>
      <x:c r="D175" s="18" t="str">
        <x:v>Death Grips</x:v>
      </x:c>
      <x:c r="E175" s="18" t="str">
        <x:v>Get Got</x:v>
      </x:c>
      <x:c r="F175" s="18" t="str">
        <x:v>original The Money Store album version</x:v>
      </x:c>
      <x:c r="G175" s="18" t="str">
        <x:v>Sacramento / California</x:v>
      </x:c>
      <x:c r="H175" s="18" t="str">
        <x:v>industrial; experimental; punk-exchange</x:v>
      </x:c>
      <x:c r="I175" s="18" t="str">
        <x:v>Compressed vocal percussion noise and genre collision</x:v>
      </x:c>
      <x:c r="J175" s="18" t="str">
        <x:v>selected_main_route</x:v>
      </x:c>
      <x:c r="K175" s="18" t="str">
        <x:v>verified_musicbrainz</x:v>
      </x:c>
      <x:c r="L175" s="18" t="str">
        <x:v>https://musicbrainz.org/recording/2c6afd59-957e-4f43-b05b-ee4bf1f9ad2f</x:v>
      </x:c>
      <x:c r="M175" s="18" t="str">
        <x:v>resolved_exact</x:v>
      </x:c>
      <x:c r="N175" s="18" t="str">
        <x:v>https://soundcloud.com/deathgrips/get-got</x:v>
      </x:c>
      <x:c r="O175" s="18" t="n">
        <x:v>263260577</x:v>
      </x:c>
      <x:c r="P175" s="18" t="str">
        <x:v>deathgrips</x:v>
      </x:c>
      <x:c r="Q175" s="18" t="n">
        <x:v>171952</x:v>
      </x:c>
      <x:c r="R175" s="18" t="str">
        <x:v>subscriber_catalog</x:v>
      </x:c>
      <x:c r="S175" s="18" t="str">
        <x:v>Structured SoundCloud catalog metadata matches artist, title, and intended unaltered version.</x:v>
      </x:c>
      <x:c r="T175" s="18" t="str">
        <x:v>track-174</x:v>
      </x:c>
      <x:c r="U175" s="18" t="str">
        <x:v>Boundary route</x:v>
      </x:c>
    </x:row>
    <x:row r="176">
      <x:c r="A176" s="18" t="n">
        <x:v>175</x:v>
      </x:c>
      <x:c r="B176" s="18" t="str">
        <x:v>HH10</x:v>
      </x:c>
      <x:c r="C176" s="18" t="n">
        <x:v>2016</x:v>
      </x:c>
      <x:c r="D176" s="18" t="str">
        <x:v>Danny Brown</x:v>
      </x:c>
      <x:c r="E176" s="18" t="str">
        <x:v>Ain't It Funny</x:v>
      </x:c>
      <x:c r="F176" s="18" t="str">
        <x:v>original Atrocity Exhibition version</x:v>
      </x:c>
      <x:c r="G176" s="18" t="str">
        <x:v>Detroit</x:v>
      </x:c>
      <x:c r="H176" s="18" t="str">
        <x:v>experimental; narrative; post-punk-sample</x:v>
      </x:c>
      <x:c r="I176" s="18" t="str">
        <x:v>Addiction narrative inside deliberately destabilizing production</x:v>
      </x:c>
      <x:c r="J176" s="18" t="str">
        <x:v>selected_main_route</x:v>
      </x:c>
      <x:c r="K176" s="18" t="str">
        <x:v>verified_musicbrainz</x:v>
      </x:c>
      <x:c r="L176" s="18" t="str">
        <x:v>https://musicbrainz.org/recording/36ced781-193d-42d8-b7fc-4738739ac6f1</x:v>
      </x:c>
      <x:c r="M176" s="18" t="str">
        <x:v>resolved_exact</x:v>
      </x:c>
      <x:c r="N176" s="18" t="str">
        <x:v>https://soundcloud.com/danny-brown-official/aint-it-funny</x:v>
      </x:c>
      <x:c r="O176" s="18" t="n">
        <x:v>277657702</x:v>
      </x:c>
      <x:c r="P176" s="18" t="str">
        <x:v>Danny Brown</x:v>
      </x:c>
      <x:c r="Q176" s="18" t="n">
        <x:v>177058</x:v>
      </x:c>
      <x:c r="R176" s="18" t="str">
        <x:v>open_or_monetized</x:v>
      </x:c>
      <x:c r="S176" s="18" t="str">
        <x:v>Structured SoundCloud catalog metadata matches artist, title, and intended unaltered version.</x:v>
      </x:c>
      <x:c r="T176" s="18" t="str">
        <x:v>track-175</x:v>
      </x:c>
      <x:c r="U176" s="18" t="str">
        <x:v>Potentially strong Tom challenge</x:v>
      </x:c>
    </x:row>
    <x:row r="177">
      <x:c r="A177" s="18" t="n">
        <x:v>176</x:v>
      </x:c>
      <x:c r="B177" s="18" t="str">
        <x:v>HH10</x:v>
      </x:c>
      <x:c r="C177" s="18" t="n">
        <x:v>2015</x:v>
      </x:c>
      <x:c r="D177" s="18" t="str">
        <x:v>Earl Sweatshirt</x:v>
      </x:c>
      <x:c r="E177" s="18" t="str">
        <x:v>Grief</x:v>
      </x:c>
      <x:c r="F177" s="18" t="str">
        <x:v>original I Don't Like Shit album version</x:v>
      </x:c>
      <x:c r="G177" s="18" t="str">
        <x:v>Los Angeles</x:v>
      </x:c>
      <x:c r="H177" s="18" t="str">
        <x:v>abstract; lo-fi; introspective</x:v>
      </x:c>
      <x:c r="I177" s="18" t="str">
        <x:v>Depressive spatial production and fractured writing</x:v>
      </x:c>
      <x:c r="J177" s="18" t="str">
        <x:v>selected_main_route</x:v>
      </x:c>
      <x:c r="K177" s="18" t="str">
        <x:v>verified_musicbrainz</x:v>
      </x:c>
      <x:c r="L177" s="18" t="str">
        <x:v>https://musicbrainz.org/recording/bdf84d95-ff70-44ed-bae4-b5fea3f6503c</x:v>
      </x:c>
      <x:c r="M177" s="18" t="str">
        <x:v>resolved_exact</x:v>
      </x:c>
      <x:c r="N177" s="18" t="str">
        <x:v>https://soundcloud.com/earlxsweatshirtmusic/grief</x:v>
      </x:c>
      <x:c r="O177" s="18" t="n">
        <x:v>257061953</x:v>
      </x:c>
      <x:c r="P177" s="18" t="str">
        <x:v>Earl Sweatshirt</x:v>
      </x:c>
      <x:c r="Q177" s="18" t="n">
        <x:v>250671</x:v>
      </x:c>
      <x:c r="R177" s="18" t="str">
        <x:v>subscriber_catalog</x:v>
      </x:c>
      <x:c r="S177" s="18" t="str">
        <x:v>Structured SoundCloud catalog metadata matches artist, title, and intended unaltered version.</x:v>
      </x:c>
      <x:c r="T177" s="18" t="str">
        <x:v>track-176</x:v>
      </x:c>
      <x:c r="U177" s="18" t="str">
        <x:v>Compare to earlier internet persona</x:v>
      </x:c>
    </x:row>
    <x:row r="178">
      <x:c r="A178" s="18" t="n">
        <x:v>177</x:v>
      </x:c>
      <x:c r="B178" s="18" t="str">
        <x:v>HH10</x:v>
      </x:c>
      <x:c r="C178" s="18" t="n">
        <x:v>2015</x:v>
      </x:c>
      <x:c r="D178" s="18" t="str">
        <x:v>Vince Staples</x:v>
      </x:c>
      <x:c r="E178" s="18" t="str">
        <x:v>Norf Norf</x:v>
      </x:c>
      <x:c r="F178" s="18" t="str">
        <x:v>original Summertime '06 album version</x:v>
      </x:c>
      <x:c r="G178" s="18" t="str">
        <x:v>Long Beach / California</x:v>
      </x:c>
      <x:c r="H178" s="18" t="str">
        <x:v>West-Coast; minimal; street-reportage</x:v>
      </x:c>
      <x:c r="I178" s="18" t="str">
        <x:v>Dry documentary voice over skeletal modern production</x:v>
      </x:c>
      <x:c r="J178" s="18" t="str">
        <x:v>selected_main_route</x:v>
      </x:c>
      <x:c r="K178" s="18" t="str">
        <x:v>verified_musicbrainz</x:v>
      </x:c>
      <x:c r="L178" s="18" t="str">
        <x:v>https://musicbrainz.org/recording/9c649ce0-ea55-44f6-b84f-974c997c36ee</x:v>
      </x:c>
      <x:c r="M178" s="18" t="str">
        <x:v>resolved_exact</x:v>
      </x:c>
      <x:c r="N178" s="18" t="str">
        <x:v>https://soundcloud.com/vince-staples-official/norf-norf-1</x:v>
      </x:c>
      <x:c r="O178" s="18" t="n">
        <x:v>253598376</x:v>
      </x:c>
      <x:c r="P178" s="18" t="str">
        <x:v>Vince Staples</x:v>
      </x:c>
      <x:c r="Q178" s="18" t="n">
        <x:v>183615</x:v>
      </x:c>
      <x:c r="R178" s="18" t="str">
        <x:v>subscriber_catalog</x:v>
      </x:c>
      <x:c r="S178" s="18" t="str">
        <x:v>Structured SoundCloud catalog metadata matches artist, title, and intended unaltered version.</x:v>
      </x:c>
      <x:c r="T178" s="18" t="str">
        <x:v>track-177</x:v>
      </x:c>
      <x:c r="U178" s="18" t="str">
        <x:v>Canonical modern lyricism</x:v>
      </x:c>
    </x:row>
    <x:row r="179">
      <x:c r="A179" s="18" t="n">
        <x:v>178</x:v>
      </x:c>
      <x:c r="B179" s="18" t="str">
        <x:v>HH10</x:v>
      </x:c>
      <x:c r="C179" s="18" t="n">
        <x:v>2016</x:v>
      </x:c>
      <x:c r="D179" s="18" t="str">
        <x:v>Rapsody</x:v>
      </x:c>
      <x:c r="E179" s="18" t="str">
        <x:v>Crown</x:v>
      </x:c>
      <x:c r="F179" s="18" t="str">
        <x:v>original Crown EP version</x:v>
      </x:c>
      <x:c r="G179" s="18" t="str">
        <x:v>North Carolina</x:v>
      </x:c>
      <x:c r="H179" s="18" t="str">
        <x:v>women; lyrical; political</x:v>
      </x:c>
      <x:c r="I179" s="18" t="str">
        <x:v>Contemporary lyricism Black womanhood and historical address</x:v>
      </x:c>
      <x:c r="J179" s="18" t="str">
        <x:v>selected_main_route</x:v>
      </x:c>
      <x:c r="K179" s="18" t="str">
        <x:v>verified_musicbrainz</x:v>
      </x:c>
      <x:c r="L179" s="18" t="str">
        <x:v>https://musicbrainz.org/recording/74167677-2628-4181-895d-c344ad0898bf</x:v>
      </x:c>
      <x:c r="M179" s="18" t="str">
        <x:v>resolved_exact</x:v>
      </x:c>
      <x:c r="N179" s="18" t="str">
        <x:v>https://soundcloud.com/laflarehiphop/crown</x:v>
      </x:c>
      <x:c r="O179" s="18" t="n">
        <x:v>294001555</x:v>
      </x:c>
      <x:c r="P179" s="18" t="str">
        <x:v>la flare</x:v>
      </x:c>
      <x:c r="Q179" s="18" t="n">
        <x:v>193167</x:v>
      </x:c>
      <x:c r="R179" s="18" t="str">
        <x:v>open_or_monetized</x:v>
      </x:c>
      <x:c r="S179" s="18" t="str">
        <x:v>Structured SoundCloud catalog metadata matches artist, title, and intended unaltered version.</x:v>
      </x:c>
      <x:c r="T179" s="18" t="str">
        <x:v>track-178</x:v>
      </x:c>
      <x:c r="U179" s="18" t="str">
        <x:v>Exact EP master</x:v>
      </x:c>
    </x:row>
    <x:row r="180">
      <x:c r="A180" s="18" t="n">
        <x:v>179</x:v>
      </x:c>
      <x:c r="B180" s="18" t="str">
        <x:v>HH10</x:v>
      </x:c>
      <x:c r="C180" s="18" t="n">
        <x:v>2014</x:v>
      </x:c>
      <x:c r="D180" s="18" t="str">
        <x:v>J. Cole</x:v>
      </x:c>
      <x:c r="E180" s="18" t="str">
        <x:v>Love Yourz</x:v>
      </x:c>
      <x:c r="F180" s="18" t="str">
        <x:v>original 2014 Forest Hills Drive album version</x:v>
      </x:c>
      <x:c r="G180" s="18" t="str">
        <x:v>North Carolina</x:v>
      </x:c>
      <x:c r="H180" s="18" t="str">
        <x:v>lyrical; message; mainstream</x:v>
      </x:c>
      <x:c r="I180" s="18" t="str">
        <x:v>A mainstream moral argument about desire success and sufficiency</x:v>
      </x:c>
      <x:c r="J180" s="18" t="str">
        <x:v>selected_main_route</x:v>
      </x:c>
      <x:c r="K180" s="18" t="str">
        <x:v>verified_musicbrainz</x:v>
      </x:c>
      <x:c r="L180" s="18" t="str">
        <x:v>https://musicbrainz.org/recording/42600c98-f2e7-44d5-a90a-ee02f1a149c5</x:v>
      </x:c>
      <x:c r="M180" s="18" t="str">
        <x:v>resolved_exact</x:v>
      </x:c>
      <x:c r="N180" s="18" t="str">
        <x:v>https://soundcloud.com/j-cole/love-yourz</x:v>
      </x:c>
      <x:c r="O180" s="18" t="n">
        <x:v>412975863</x:v>
      </x:c>
      <x:c r="P180" s="18" t="str">
        <x:v>J. Cole</x:v>
      </x:c>
      <x:c r="Q180" s="18" t="n">
        <x:v>211540</x:v>
      </x:c>
      <x:c r="R180" s="18" t="str">
        <x:v>subscriber_catalog</x:v>
      </x:c>
      <x:c r="S180" s="18" t="str">
        <x:v>Structured SoundCloud catalog metadata matches artist, title, and intended unaltered version.</x:v>
      </x:c>
      <x:c r="T180" s="18" t="str">
        <x:v>track-179</x:v>
      </x:c>
      <x:c r="U180" s="18" t="str">
        <x:v>Potential Tom route</x:v>
      </x:c>
    </x:row>
    <x:row r="181">
      <x:c r="A181" s="18" t="n">
        <x:v>180</x:v>
      </x:c>
      <x:c r="B181" s="18" t="str">
        <x:v>HH10</x:v>
      </x:c>
      <x:c r="C181" s="18" t="n">
        <x:v>2011</x:v>
      </x:c>
      <x:c r="D181" s="18" t="str">
        <x:v>Azealia Banks featuring Lazy Jay</x:v>
      </x:c>
      <x:c r="E181" s="18" t="str">
        <x:v>212</x:v>
      </x:c>
      <x:c r="F181" s="18" t="str">
        <x:v>original single version</x:v>
      </x:c>
      <x:c r="G181" s="18" t="str">
        <x:v>Harlem / New York</x:v>
      </x:c>
      <x:c r="H181" s="18" t="str">
        <x:v>women; queer; house-exchange</x:v>
      </x:c>
      <x:c r="I181" s="18" t="str">
        <x:v>Rap-house exchange virtuoso rhythmic switching and queer club energy</x:v>
      </x:c>
      <x:c r="J181" s="18" t="str">
        <x:v>selected_main_route</x:v>
      </x:c>
      <x:c r="K181" s="18" t="str">
        <x:v>verified_soundcloud_catalog</x:v>
      </x:c>
      <x:c r="L181" s="18" t="str">
        <x:v>https://soundcloud.com/azealia-fm/212a</x:v>
      </x:c>
      <x:c r="M181" s="18" t="str">
        <x:v>resolved_exact</x:v>
      </x:c>
      <x:c r="N181" s="18" t="str">
        <x:v>https://soundcloud.com/azealia-fm/212a</x:v>
      </x:c>
      <x:c r="O181" s="18" t="n">
        <x:v>1376790595</x:v>
      </x:c>
      <x:c r="P181" s="18" t="str">
        <x:v>AZEALIA BANKS</x:v>
      </x:c>
      <x:c r="Q181" s="18" t="n">
        <x:v>203677</x:v>
      </x:c>
      <x:c r="R181" s="18" t="str">
        <x:v>open_or_monetized</x:v>
      </x:c>
      <x:c r="S181" s="18" t="str">
        <x:v>Structured SoundCloud catalog metadata matches artist, title, and intended unaltered version.</x:v>
      </x:c>
      <x:c r="T181" s="18" t="str">
        <x:v>track-180</x:v>
      </x:c>
      <x:c r="U181" s="18" t="str">
        <x:v>Explicit; artist controversies separate from track function</x:v>
      </x:c>
    </x:row>
    <x:row r="182">
      <x:c r="A182" s="18" t="n">
        <x:v>181</x:v>
      </x:c>
      <x:c r="B182" s="18" t="str">
        <x:v>HH10</x:v>
      </x:c>
      <x:c r="C182" s="18" t="n">
        <x:v>2015</x:v>
      </x:c>
      <x:c r="D182" s="18" t="str">
        <x:v>Skepta</x:v>
      </x:c>
      <x:c r="E182" s="18" t="str">
        <x:v>Shutdown</x:v>
      </x:c>
      <x:c r="F182" s="18" t="str">
        <x:v>original single version</x:v>
      </x:c>
      <x:c r="G182" s="18" t="str">
        <x:v>London / United Kingdom</x:v>
      </x:c>
      <x:c r="H182" s="18" t="str">
        <x:v>grime; MC; independence</x:v>
      </x:c>
      <x:c r="I182" s="18" t="str">
        <x:v>Grime resurgence and UK independence</x:v>
      </x:c>
      <x:c r="J182" s="18" t="str">
        <x:v>selected_main_route</x:v>
      </x:c>
      <x:c r="K182" s="18" t="str">
        <x:v>verified_musicbrainz</x:v>
      </x:c>
      <x:c r="L182" s="18" t="str">
        <x:v>https://musicbrainz.org/recording/bb138d71-b434-4e87-9478-dd357776003b</x:v>
      </x:c>
      <x:c r="M182" s="18" t="str">
        <x:v>resolved_exact</x:v>
      </x:c>
      <x:c r="N182" s="18" t="str">
        <x:v>https://soundcloud.com/skepta/shutdown-1</x:v>
      </x:c>
      <x:c r="O182" s="18" t="n">
        <x:v>270339217</x:v>
      </x:c>
      <x:c r="P182" s="18" t="str">
        <x:v>SKEPTA</x:v>
      </x:c>
      <x:c r="Q182" s="18" t="n">
        <x:v>188918</x:v>
      </x:c>
      <x:c r="R182" s="18" t="str">
        <x:v>open_or_monetized</x:v>
      </x:c>
      <x:c r="S182" s="18" t="str">
        <x:v>Structured SoundCloud catalog metadata matches artist, title, and intended unaltered version.</x:v>
      </x:c>
      <x:c r="T182" s="18" t="str">
        <x:v>track-181</x:v>
      </x:c>
      <x:c r="U182" s="18" t="str">
        <x:v>Neighbor comparison not rap subsumption</x:v>
      </x:c>
    </x:row>
    <x:row r="183">
      <x:c r="A183" s="18" t="n">
        <x:v>182</x:v>
      </x:c>
      <x:c r="B183" s="18" t="str">
        <x:v>HH10</x:v>
      </x:c>
      <x:c r="C183" s="18" t="n">
        <x:v>2012</x:v>
      </x:c>
      <x:c r="D183" s="18" t="str">
        <x:v>Canserbero</x:v>
      </x:c>
      <x:c r="E183" s="18" t="str">
        <x:v>Jeremías 17:5</x:v>
      </x:c>
      <x:c r="F183" s="18" t="str">
        <x:v>original Muerte album version</x:v>
      </x:c>
      <x:c r="G183" s="18" t="str">
        <x:v>Venezuela</x:v>
      </x:c>
      <x:c r="H183" s="18" t="str">
        <x:v>Venezuelan-rap; Spanish-language; political</x:v>
      </x:c>
      <x:c r="I183" s="18" t="str">
        <x:v>Venezuelan independent lyricism and philosophical social critique</x:v>
      </x:c>
      <x:c r="J183" s="18" t="str">
        <x:v>selected_main_route</x:v>
      </x:c>
      <x:c r="K183" s="18" t="str">
        <x:v>metadata_source_incomplete</x:v>
      </x:c>
      <x:c r="L183" s="18" t="str">
        <x:v>https://musicbrainz.org/ws/2/recording/?query=recording%3A%22Jerem%C3%ADas+17%3A5%22+AND+artist%3A%22Canserbero%22&amp;fmt=json&amp;limit=8</x:v>
      </x:c>
      <x:c r="M183" s="18" t="str">
        <x:v>resolved_exact_unofficial</x:v>
      </x:c>
      <x:c r="N183" s="18" t="str">
        <x:v>https://soundcloud.com/drob-08/jeremias-17-5-canserbero</x:v>
      </x:c>
      <x:c r="O183" s="18" t="n">
        <x:v>185409694</x:v>
      </x:c>
      <x:c r="P183" s="18" t="str">
        <x:v>D`RoB-08</x:v>
      </x:c>
      <x:c r="Q183" s="18" t="n">
        <x:v>326117</x:v>
      </x:c>
      <x:c r="R183" s="18" t="str">
        <x:v>open_or_monetized</x:v>
      </x:c>
      <x:c r="S183" s="18" t="str">
        <x:v>Full user upload matches the album recording; live and instrumental versions were rejected.</x:v>
      </x:c>
      <x:c r="T183" s="18" t="str">
        <x:v>track-182</x:v>
      </x:c>
      <x:c r="U183" s="18" t="str">
        <x:v>Translation and version audit</x:v>
      </x:c>
    </x:row>
    <x:row r="184">
      <x:c r="A184" s="18" t="n">
        <x:v>183</x:v>
      </x:c>
      <x:c r="B184" s="18" t="str">
        <x:v>HH10</x:v>
      </x:c>
      <x:c r="C184" s="18" t="n">
        <x:v>2015</x:v>
      </x:c>
      <x:c r="D184" s="18" t="str">
        <x:v>PNL</x:v>
      </x:c>
      <x:c r="E184" s="18" t="str">
        <x:v>Le monde ou rien</x:v>
      </x:c>
      <x:c r="F184" s="18" t="str">
        <x:v>original Le Monde Chico album version</x:v>
      </x:c>
      <x:c r="G184" s="18" t="str">
        <x:v>Paris / France</x:v>
      </x:c>
      <x:c r="H184" s="18" t="str">
        <x:v>French-rap; cloud; Auto-Tune</x:v>
      </x:c>
      <x:c r="I184" s="18" t="str">
        <x:v>French cloud atmosphere family authorship and autonomous image</x:v>
      </x:c>
      <x:c r="J184" s="18" t="str">
        <x:v>selected_main_route</x:v>
      </x:c>
      <x:c r="K184" s="18" t="str">
        <x:v>verified_musicbrainz</x:v>
      </x:c>
      <x:c r="L184" s="18" t="str">
        <x:v>https://musicbrainz.org/recording/9f511e90-11ec-431c-a2fc-599bb8f5d459</x:v>
      </x:c>
      <x:c r="M184" s="18" t="str">
        <x:v>resolved_exact</x:v>
      </x:c>
      <x:c r="N184" s="18" t="str">
        <x:v>https://soundcloud.com/pnlpart2/le-monde-ou-rien-3</x:v>
      </x:c>
      <x:c r="O184" s="18" t="n">
        <x:v>1017922789</x:v>
      </x:c>
      <x:c r="P184" s="18" t="str">
        <x:v>PNL</x:v>
      </x:c>
      <x:c r="Q184" s="18" t="n">
        <x:v>226142</x:v>
      </x:c>
      <x:c r="R184" s="18" t="str">
        <x:v>open_or_monetized</x:v>
      </x:c>
      <x:c r="S184" s="18" t="str">
        <x:v>Structured SoundCloud catalog metadata matches artist, title, and intended unaltered version.</x:v>
      </x:c>
      <x:c r="T184" s="18" t="str">
        <x:v>track-183</x:v>
      </x:c>
      <x:c r="U184" s="18" t="str">
        <x:v>Translation/context needed</x:v>
      </x:c>
    </x:row>
    <x:row r="185">
      <x:c r="A185" s="18" t="n">
        <x:v>184</x:v>
      </x:c>
      <x:c r="B185" s="18" t="str">
        <x:v>HH10</x:v>
      </x:c>
      <x:c r="C185" s="18" t="n">
        <x:v>2011</x:v>
      </x:c>
      <x:c r="D185" s="18" t="str">
        <x:v>Tyler, the Creator</x:v>
      </x:c>
      <x:c r="E185" s="18" t="str">
        <x:v>Yonkers</x:v>
      </x:c>
      <x:c r="F185" s="18" t="str">
        <x:v>original Goblin album version</x:v>
      </x:c>
      <x:c r="G185" s="18" t="str">
        <x:v>Los Angeles</x:v>
      </x:c>
      <x:c r="H185" s="18" t="str">
        <x:v>Odd-Future; internet; persona; minimal</x:v>
      </x:c>
      <x:c r="I185" s="18" t="str">
        <x:v>Internet collective shock aesthetics stark production and authored visual persona</x:v>
      </x:c>
      <x:c r="J185" s="18" t="str">
        <x:v>selected_main_route</x:v>
      </x:c>
      <x:c r="K185" s="18" t="str">
        <x:v>verified_musicbrainz</x:v>
      </x:c>
      <x:c r="L185" s="18" t="str">
        <x:v>https://musicbrainz.org/recording/07520c4d-77cd-4d91-a3c4-7c9d476cab87</x:v>
      </x:c>
      <x:c r="M185" s="18" t="str">
        <x:v>resolved_exact</x:v>
      </x:c>
      <x:c r="N185" s="18" t="str">
        <x:v>https://soundcloud.com/tylerthecreatorofficial/yonkers</x:v>
      </x:c>
      <x:c r="O185" s="18" t="n">
        <x:v>265550967</x:v>
      </x:c>
      <x:c r="P185" s="18" t="str">
        <x:v>Tyler, The Creator</x:v>
      </x:c>
      <x:c r="Q185" s="18" t="n">
        <x:v>249365</x:v>
      </x:c>
      <x:c r="R185" s="18" t="str">
        <x:v>subscriber_catalog</x:v>
      </x:c>
      <x:c r="S185" s="18" t="str">
        <x:v>Structured SoundCloud catalog metadata matches artist, title, and intended unaltered version.</x:v>
      </x:c>
      <x:c r="T185" s="18" t="str">
        <x:v>track-184</x:v>
      </x:c>
      <x:c r="U185" s="18" t="str">
        <x:v>Contextualize slurs and provocation</x:v>
      </x:c>
    </x:row>
    <x:row r="186">
      <x:c r="A186" s="18" t="n">
        <x:v>185</x:v>
      </x:c>
      <x:c r="B186" s="18" t="str">
        <x:v>HH10</x:v>
      </x:c>
      <x:c r="C186" s="18" t="n">
        <x:v>2016</x:v>
      </x:c>
      <x:c r="D186" s="18" t="str">
        <x:v>Okmalumkoolkat</x:v>
      </x:c>
      <x:c r="E186" s="18" t="str">
        <x:v>Gqi</x:v>
      </x:c>
      <x:c r="F186" s="18" t="str">
        <x:v>original Mlazi Milano album version</x:v>
      </x:c>
      <x:c r="G186" s="18" t="str">
        <x:v>Durban / South Africa</x:v>
      </x:c>
      <x:c r="H186" s="18" t="str">
        <x:v>South-African-rap; electronic; language</x:v>
      </x:c>
      <x:c r="I186" s="18" t="str">
        <x:v>Zulu-inflected futurism and local electronic exchange</x:v>
      </x:c>
      <x:c r="J186" s="18" t="str">
        <x:v>selected_main_route</x:v>
      </x:c>
      <x:c r="K186" s="18" t="str">
        <x:v>verified_musicbrainz</x:v>
      </x:c>
      <x:c r="L186" s="18" t="str">
        <x:v>https://musicbrainz.org/recording/517e7334-c5df-4375-98df-6a7e9deba8f9</x:v>
      </x:c>
      <x:c r="M186" s="18" t="str">
        <x:v>resolved_exact_unofficial</x:v>
      </x:c>
      <x:c r="N186" s="18" t="str">
        <x:v>https://soundcloud.com/smilinobserver/gqi-w-okmalumkoolkat</x:v>
      </x:c>
      <x:c r="O186" s="18" t="n">
        <x:v>1654917822</x:v>
      </x:c>
      <x:c r="P186" s="18" t="str">
        <x:v>Nightmare Henry</x:v>
      </x:c>
      <x:c r="Q186" s="18" t="n">
        <x:v>187376</x:v>
      </x:c>
      <x:c r="R186" s="18" t="str">
        <x:v>open_or_monetized</x:v>
      </x:c>
      <x:c r="S186" s="18" t="str">
        <x:v>User upload names the artist and intended title; no artist-controlled upload was found.</x:v>
      </x:c>
      <x:c r="T186" s="18" t="str">
        <x:v>track-185</x:v>
      </x:c>
      <x:c r="U186" s="18" t="str">
        <x:v>Metadata/language audit</x:v>
      </x:c>
    </x:row>
    <x:row r="187">
      <x:c r="A187" s="18" t="n">
        <x:v>186</x:v>
      </x:c>
      <x:c r="B187" s="18" t="str">
        <x:v>HH10</x:v>
      </x:c>
      <x:c r="C187" s="18" t="n">
        <x:v>2015</x:v>
      </x:c>
      <x:c r="D187" s="18" t="str">
        <x:v>Keith Ape featuring JayAllDay Loota Okasian and Kohh</x:v>
      </x:c>
      <x:c r="E187" s="18" t="str">
        <x:v>It G Ma</x:v>
      </x:c>
      <x:c r="F187" s="18" t="str">
        <x:v>original single version</x:v>
      </x:c>
      <x:c r="G187" s="18" t="str">
        <x:v>South Korea / Japan</x:v>
      </x:c>
      <x:c r="H187" s="18" t="str">
        <x:v>Asian-rap; trap; multilingual</x:v>
      </x:c>
      <x:c r="I187" s="18" t="str">
        <x:v>Multilingual regional collaboration and viral transpacific circulation</x:v>
      </x:c>
      <x:c r="J187" s="18" t="str">
        <x:v>selected_main_route</x:v>
      </x:c>
      <x:c r="K187" s="18" t="str">
        <x:v>verified_musicbrainz</x:v>
      </x:c>
      <x:c r="L187" s="18" t="str">
        <x:v>https://musicbrainz.org/recording/702412e3-2647-48e8-919f-c17219bf39a2</x:v>
      </x:c>
      <x:c r="M187" s="18" t="str">
        <x:v>resolved_exact</x:v>
      </x:c>
      <x:c r="N187" s="18" t="str">
        <x:v>https://soundcloud.com/keithape/keith-ape-it-g-ma-feat-jayallday-loota-okasian-kohh</x:v>
      </x:c>
      <x:c r="O187" s="18" t="n">
        <x:v>184286258</x:v>
      </x:c>
      <x:c r="P187" s="18" t="str">
        <x:v>KeithApe'22⊕</x:v>
      </x:c>
      <x:c r="Q187" s="18" t="n">
        <x:v>322485</x:v>
      </x:c>
      <x:c r="R187" s="18" t="str">
        <x:v>open_or_monetized</x:v>
      </x:c>
      <x:c r="S187" s="18" t="str">
        <x:v>Artist upload of the original single.</x:v>
      </x:c>
      <x:c r="T187" s="18" t="str">
        <x:v>track-186</x:v>
      </x:c>
      <x:c r="U187" s="18" t="str">
        <x:v>Full credit and cultural-context audit</x:v>
      </x:c>
    </x:row>
    <x:row r="188">
      <x:c r="A188" s="18" t="n">
        <x:v>187</x:v>
      </x:c>
      <x:c r="B188" s="18" t="str">
        <x:v>HH11</x:v>
      </x:c>
      <x:c r="C188" s="18" t="n">
        <x:v>2016</x:v>
      </x:c>
      <x:c r="D188" s="18" t="str">
        <x:v>XXXTentacion</x:v>
      </x:c>
      <x:c r="E188" s="18" t="str">
        <x:v>Look at Me!</x:v>
      </x:c>
      <x:c r="F188" s="18" t="str">
        <x:v>original SoundCloud upload/master</x:v>
      </x:c>
      <x:c r="G188" s="18" t="str">
        <x:v>South Florida</x:v>
      </x:c>
      <x:c r="H188" s="18" t="str">
        <x:v>SoundCloud-rap; distortion; short-form</x:v>
      </x:c>
      <x:c r="I188" s="18" t="str">
        <x:v>Clipping distortion brevity and platform virality</x:v>
      </x:c>
      <x:c r="J188" s="18" t="str">
        <x:v>selected_main_route</x:v>
      </x:c>
      <x:c r="K188" s="18" t="str">
        <x:v>verified_musicbrainz</x:v>
      </x:c>
      <x:c r="L188" s="18" t="str">
        <x:v>https://musicbrainz.org/recording/de92c98a-c725-4612-a1e3-2b87d2405b48</x:v>
      </x:c>
      <x:c r="M188" s="18" t="str">
        <x:v>resolved_exact</x:v>
      </x:c>
      <x:c r="N188" s="18" t="str">
        <x:v>https://soundcloud.com/jahseh-onfroy/look-at-me</x:v>
      </x:c>
      <x:c r="O188" s="18" t="n">
        <x:v>1595597859</x:v>
      </x:c>
      <x:c r="P188" s="18" t="str">
        <x:v>XXXTENTACION</x:v>
      </x:c>
      <x:c r="Q188" s="18" t="n">
        <x:v>126407</x:v>
      </x:c>
      <x:c r="R188" s="18" t="str">
        <x:v>open_or_monetized</x:v>
      </x:c>
      <x:c r="S188" s="18" t="str">
        <x:v>Structured SoundCloud catalog metadata matches artist, title, and intended unaltered version.</x:v>
      </x:c>
      <x:c r="T188" s="18" t="str">
        <x:v>track-187</x:v>
      </x:c>
      <x:c r="U188" s="18" t="str">
        <x:v>Serious biographical harm context required</x:v>
      </x:c>
    </x:row>
    <x:row r="189">
      <x:c r="A189" s="18" t="n">
        <x:v>188</x:v>
      </x:c>
      <x:c r="B189" s="18" t="str">
        <x:v>HH11</x:v>
      </x:c>
      <x:c r="C189" s="18" t="n">
        <x:v>2017</x:v>
      </x:c>
      <x:c r="D189" s="18" t="str">
        <x:v>Lil Uzi Vert</x:v>
      </x:c>
      <x:c r="E189" s="18" t="str">
        <x:v>XO TOUR Llif3</x:v>
      </x:c>
      <x:c r="F189" s="18" t="str">
        <x:v>original commercial single version</x:v>
      </x:c>
      <x:c r="G189" s="18" t="str">
        <x:v>Philadelphia</x:v>
      </x:c>
      <x:c r="H189" s="18" t="str">
        <x:v>emo-rap; melody; trap</x:v>
      </x:c>
      <x:c r="I189" s="18" t="str">
        <x:v>Melodic affect and arena-scale internet generation</x:v>
      </x:c>
      <x:c r="J189" s="18" t="str">
        <x:v>selected_main_route</x:v>
      </x:c>
      <x:c r="K189" s="18" t="str">
        <x:v>verified_musicbrainz</x:v>
      </x:c>
      <x:c r="L189" s="18" t="str">
        <x:v>https://musicbrainz.org/recording/d2c4c05c-acfe-46c2-a46c-7950dca19d93</x:v>
      </x:c>
      <x:c r="M189" s="18" t="str">
        <x:v>resolved_exact</x:v>
      </x:c>
      <x:c r="N189" s="18" t="str">
        <x:v>https://soundcloud.com/liluzivert/xo-tour-llif3-1</x:v>
      </x:c>
      <x:c r="O189" s="18" t="n">
        <x:v>313999085</x:v>
      </x:c>
      <x:c r="P189" s="18" t="str">
        <x:v>Lil Uzi Vert</x:v>
      </x:c>
      <x:c r="Q189" s="18" t="n">
        <x:v>182706</x:v>
      </x:c>
      <x:c r="R189" s="18" t="str">
        <x:v>open_or_monetized</x:v>
      </x:c>
      <x:c r="S189" s="18" t="str">
        <x:v>Structured SoundCloud catalog metadata matches artist, title, and intended unaltered version.</x:v>
      </x:c>
      <x:c r="T189" s="18" t="str">
        <x:v>track-188</x:v>
      </x:c>
      <x:c r="U189" s="18" t="str">
        <x:v>Compare initial SoundCloud version if materially different</x:v>
      </x:c>
    </x:row>
    <x:row r="190">
      <x:c r="A190" s="18" t="n">
        <x:v>189</x:v>
      </x:c>
      <x:c r="B190" s="18" t="str">
        <x:v>HH11</x:v>
      </x:c>
      <x:c r="C190" s="18" t="n">
        <x:v>2017</x:v>
      </x:c>
      <x:c r="D190" s="18" t="str">
        <x:v>Playboi Carti</x:v>
      </x:c>
      <x:c r="E190" s="18" t="str">
        <x:v>Magnolia</x:v>
      </x:c>
      <x:c r="F190" s="18" t="str">
        <x:v>original Playboi Carti mixtape version</x:v>
      </x:c>
      <x:c r="G190" s="18" t="str">
        <x:v>Atlanta / New York</x:v>
      </x:c>
      <x:c r="H190" s="18" t="str">
        <x:v>minimal-vocal; trap; Pi'erre</x:v>
      </x:c>
      <x:c r="I190" s="18" t="str">
        <x:v>Ad-lib voice repetition and producer tag as architecture</x:v>
      </x:c>
      <x:c r="J190" s="18" t="str">
        <x:v>selected_main_route</x:v>
      </x:c>
      <x:c r="K190" s="18" t="str">
        <x:v>verified_musicbrainz</x:v>
      </x:c>
      <x:c r="L190" s="18" t="str">
        <x:v>https://musicbrainz.org/recording/75a38235-5db3-4545-bd4c-e4de9baee068</x:v>
      </x:c>
      <x:c r="M190" s="18" t="str">
        <x:v>resolved_exact</x:v>
      </x:c>
      <x:c r="N190" s="18" t="str">
        <x:v>https://soundcloud.com/playboicarti/magnolia-1</x:v>
      </x:c>
      <x:c r="O190" s="18" t="n">
        <x:v>317594712</x:v>
      </x:c>
      <x:c r="P190" s="18" t="str">
        <x:v>playboicarti</x:v>
      </x:c>
      <x:c r="Q190" s="18" t="n">
        <x:v>181907</x:v>
      </x:c>
      <x:c r="R190" s="18" t="str">
        <x:v>open_or_monetized</x:v>
      </x:c>
      <x:c r="S190" s="18" t="str">
        <x:v>Structured SoundCloud catalog metadata matches artist, title, and intended unaltered version.</x:v>
      </x:c>
      <x:c r="T190" s="18" t="str">
        <x:v>track-189</x:v>
      </x:c>
      <x:c r="U190" s="18" t="str">
        <x:v>Canonical platform-era form</x:v>
      </x:c>
    </x:row>
    <x:row r="191">
      <x:c r="A191" s="18" t="n">
        <x:v>190</x:v>
      </x:c>
      <x:c r="B191" s="18" t="str">
        <x:v>HH11</x:v>
      </x:c>
      <x:c r="C191" s="18" t="n">
        <x:v>2017</x:v>
      </x:c>
      <x:c r="D191" s="18" t="str">
        <x:v>Juice WRLD</x:v>
      </x:c>
      <x:c r="E191" s="18" t="str">
        <x:v>Lucid Dreams</x:v>
      </x:c>
      <x:c r="F191" s="18" t="str">
        <x:v>original single/Goodbye album version</x:v>
      </x:c>
      <x:c r="G191" s="18" t="str">
        <x:v>Chicago</x:v>
      </x:c>
      <x:c r="H191" s="18" t="str">
        <x:v>emo-rap; melody; sample</x:v>
      </x:c>
      <x:c r="I191" s="18" t="str">
        <x:v>Freestyle-derived melodic confession and sample dependence</x:v>
      </x:c>
      <x:c r="J191" s="18" t="str">
        <x:v>selected_main_route</x:v>
      </x:c>
      <x:c r="K191" s="18" t="str">
        <x:v>verified_musicbrainz</x:v>
      </x:c>
      <x:c r="L191" s="18" t="str">
        <x:v>https://musicbrainz.org/recording/19c232bc-1960-4df2-bbc9-7742b7180a7f</x:v>
      </x:c>
      <x:c r="M191" s="18" t="str">
        <x:v>resolved_exact</x:v>
      </x:c>
      <x:c r="N191" s="18" t="str">
        <x:v>https://soundcloud.com/uiceheidd/lucid-dreams-forget-me</x:v>
      </x:c>
      <x:c r="O191" s="18" t="n">
        <x:v>328259811</x:v>
      </x:c>
      <x:c r="P191" s="18" t="str">
        <x:v>Juice WRLD</x:v>
      </x:c>
      <x:c r="Q191" s="18" t="n">
        <x:v>239882</x:v>
      </x:c>
      <x:c r="R191" s="18" t="str">
        <x:v>open_or_monetized</x:v>
      </x:c>
      <x:c r="S191" s="18" t="str">
        <x:v>Structured SoundCloud catalog metadata matches artist, title, and intended unaltered version.</x:v>
      </x:c>
      <x:c r="T191" s="18" t="str">
        <x:v>track-190</x:v>
      </x:c>
      <x:c r="U191" s="18" t="str">
        <x:v>Version and sample-cleared master verify</x:v>
      </x:c>
    </x:row>
    <x:row r="192">
      <x:c r="A192" s="18" t="n">
        <x:v>191</x:v>
      </x:c>
      <x:c r="B192" s="18" t="str">
        <x:v>HH11</x:v>
      </x:c>
      <x:c r="C192" s="18" t="n">
        <x:v>2017</x:v>
      </x:c>
      <x:c r="D192" s="18" t="str">
        <x:v>Lil Peep</x:v>
      </x:c>
      <x:c r="E192" s="18" t="str">
        <x:v>Benz Truck (гелик)</x:v>
      </x:c>
      <x:c r="F192" s="18" t="str">
        <x:v>original Come Over When You're Sober Pt. 1 version</x:v>
      </x:c>
      <x:c r="G192" s="18" t="str">
        <x:v>Long Island / Los Angeles</x:v>
      </x:c>
      <x:c r="H192" s="18" t="str">
        <x:v>emo-rap; guitar; SoundCloud</x:v>
      </x:c>
      <x:c r="I192" s="18" t="str">
        <x:v>Guitar emo lineage and SoundCloud intimacy</x:v>
      </x:c>
      <x:c r="J192" s="18" t="str">
        <x:v>selected_main_route</x:v>
      </x:c>
      <x:c r="K192" s="18" t="str">
        <x:v>verified_musicbrainz</x:v>
      </x:c>
      <x:c r="L192" s="18" t="str">
        <x:v>https://musicbrainz.org/recording/60871e52-3627-4c18-9965-2befa01bb024</x:v>
      </x:c>
      <x:c r="M192" s="18" t="str">
        <x:v>resolved_exact</x:v>
      </x:c>
      <x:c r="N192" s="18" t="str">
        <x:v>https://soundcloud.com/user-371417929/benz-truck-gelik-lil-peep</x:v>
      </x:c>
      <x:c r="O192" s="18" t="n">
        <x:v>888975970</x:v>
      </x:c>
      <x:c r="P192" s="18" t="str">
        <x:v>☆Peep☆</x:v>
      </x:c>
      <x:c r="Q192" s="18" t="n">
        <x:v>160026</x:v>
      </x:c>
      <x:c r="R192" s="18" t="str">
        <x:v>open_or_monetized</x:v>
      </x:c>
      <x:c r="S192" s="18" t="str">
        <x:v>Structured SoundCloud catalog metadata matches artist, title, and intended unaltered version.</x:v>
      </x:c>
      <x:c r="T192" s="18" t="str">
        <x:v>track-191</x:v>
      </x:c>
      <x:c r="U192" s="18" t="str">
        <x:v>Title typography and original upload verify</x:v>
      </x:c>
    </x:row>
    <x:row r="193">
      <x:c r="A193" s="18" t="n">
        <x:v>192</x:v>
      </x:c>
      <x:c r="B193" s="18" t="str">
        <x:v>HH11</x:v>
      </x:c>
      <x:c r="C193" s="18" t="n">
        <x:v>2016</x:v>
      </x:c>
      <x:c r="D193" s="18" t="str">
        <x:v>Travis Scott featuring Kendrick Lamar</x:v>
      </x:c>
      <x:c r="E193" s="18" t="str">
        <x:v>goosebumps</x:v>
      </x:c>
      <x:c r="F193" s="18" t="str">
        <x:v>original Birds in the Trap Sing McKnight version</x:v>
      </x:c>
      <x:c r="G193" s="18" t="str">
        <x:v>Houston</x:v>
      </x:c>
      <x:c r="H193" s="18" t="str">
        <x:v>psychedelic-trap; producer-auteur; mainstream</x:v>
      </x:c>
      <x:c r="I193" s="18" t="str">
        <x:v>Atmospheric trap as large-scale producer-performer world building</x:v>
      </x:c>
      <x:c r="J193" s="18" t="str">
        <x:v>selected_main_route</x:v>
      </x:c>
      <x:c r="K193" s="18" t="str">
        <x:v>verified_musicbrainz</x:v>
      </x:c>
      <x:c r="L193" s="18" t="str">
        <x:v>https://musicbrainz.org/recording/05b394e8-3b2c-4cc4-9a2c-cbe2814d362c</x:v>
      </x:c>
      <x:c r="M193" s="18" t="str">
        <x:v>resolved_probable_exact</x:v>
      </x:c>
      <x:c r="N193" s="18" t="str">
        <x:v>https://soundcloud.com/cslav34/rthytjty</x:v>
      </x:c>
      <x:c r="O193" s="18" t="n">
        <x:v>349869847</x:v>
      </x:c>
      <x:c r="P193" s="18" t="str">
        <x:v>Cslav</x:v>
      </x:c>
      <x:c r="Q193" s="18" t="n">
        <x:v>249780</x:v>
      </x:c>
      <x:c r="R193" s="18" t="str">
        <x:v>open_or_monetized</x:v>
      </x:c>
      <x:c r="S193" s="18" t="str">
        <x:v>Full user upload matches the original album recording; remixes and unusually long uploads were rejected.</x:v>
      </x:c>
      <x:c r="T193" s="18" t="str">
        <x:v>track-192</x:v>
      </x:c>
      <x:c r="U193" s="18" t="str">
        <x:v>Feature and album master verify</x:v>
      </x:c>
    </x:row>
    <x:row r="194">
      <x:c r="A194" s="18" t="n">
        <x:v>193</x:v>
      </x:c>
      <x:c r="B194" s="18" t="str">
        <x:v>HH11</x:v>
      </x:c>
      <x:c r="C194" s="18" t="n">
        <x:v>2018</x:v>
      </x:c>
      <x:c r="D194" s="18" t="str">
        <x:v>Noname</x:v>
      </x:c>
      <x:c r="E194" s="18" t="str">
        <x:v>Blaxploitation</x:v>
      </x:c>
      <x:c r="F194" s="18" t="str">
        <x:v>original Room 25 album version</x:v>
      </x:c>
      <x:c r="G194" s="18" t="str">
        <x:v>Chicago</x:v>
      </x:c>
      <x:c r="H194" s="18" t="str">
        <x:v>women; spoken-flow; political</x:v>
      </x:c>
      <x:c r="I194" s="18" t="str">
        <x:v>Political critique through conversational rhythmic ambiguity</x:v>
      </x:c>
      <x:c r="J194" s="18" t="str">
        <x:v>selected_main_route</x:v>
      </x:c>
      <x:c r="K194" s="18" t="str">
        <x:v>verified_musicbrainz</x:v>
      </x:c>
      <x:c r="L194" s="18" t="str">
        <x:v>https://musicbrainz.org/recording/6f47c710-4e86-4821-b2b7-c5e90c5da127</x:v>
      </x:c>
      <x:c r="M194" s="18" t="str">
        <x:v>resolved_exact</x:v>
      </x:c>
      <x:c r="N194" s="18" t="str">
        <x:v>https://soundcloud.com/noname84333/blaxploitation</x:v>
      </x:c>
      <x:c r="O194" s="18" t="n">
        <x:v>1418154601</x:v>
      </x:c>
      <x:c r="P194" s="18" t="str">
        <x:v>Noname</x:v>
      </x:c>
      <x:c r="Q194" s="18" t="n">
        <x:v>133094</x:v>
      </x:c>
      <x:c r="R194" s="18" t="str">
        <x:v>open_or_monetized</x:v>
      </x:c>
      <x:c r="S194" s="18" t="str">
        <x:v>Structured SoundCloud catalog metadata matches artist, title, and intended unaltered version.</x:v>
      </x:c>
      <x:c r="T194" s="18" t="str">
        <x:v>track-193</x:v>
      </x:c>
      <x:c r="U194" s="18" t="str">
        <x:v>Likely Tom route</x:v>
      </x:c>
    </x:row>
    <x:row r="195">
      <x:c r="A195" s="18" t="n">
        <x:v>194</x:v>
      </x:c>
      <x:c r="B195" s="18" t="str">
        <x:v>HH11</x:v>
      </x:c>
      <x:c r="C195" s="18" t="n">
        <x:v>2019</x:v>
      </x:c>
      <x:c r="D195" s="18" t="str">
        <x:v>Tierra Whack</x:v>
      </x:c>
      <x:c r="E195" s="18" t="str">
        <x:v>Unemployed</x:v>
      </x:c>
      <x:c r="F195" s="18" t="str">
        <x:v>original single version</x:v>
      </x:c>
      <x:c r="G195" s="18" t="str">
        <x:v>Philadelphia</x:v>
      </x:c>
      <x:c r="H195" s="18" t="str">
        <x:v>women; experimental; visual</x:v>
      </x:c>
      <x:c r="I195" s="18" t="str">
        <x:v>Comic grotesque imagery and compact formal invention</x:v>
      </x:c>
      <x:c r="J195" s="18" t="str">
        <x:v>selected_main_route</x:v>
      </x:c>
      <x:c r="K195" s="18" t="str">
        <x:v>verified_musicbrainz</x:v>
      </x:c>
      <x:c r="L195" s="18" t="str">
        <x:v>https://musicbrainz.org/recording/f86e9d1d-4978-438d-a695-ef50d43e332b</x:v>
      </x:c>
      <x:c r="M195" s="18" t="str">
        <x:v>resolved_exact</x:v>
      </x:c>
      <x:c r="N195" s="18" t="str">
        <x:v>https://soundcloud.com/tierrawhack/unemployed</x:v>
      </x:c>
      <x:c r="O195" s="18" t="n">
        <x:v>589243494</x:v>
      </x:c>
      <x:c r="P195" s="18" t="str">
        <x:v>Tierra Whack</x:v>
      </x:c>
      <x:c r="Q195" s="18" t="n">
        <x:v>168740</x:v>
      </x:c>
      <x:c r="R195" s="18" t="str">
        <x:v>open_or_monetized</x:v>
      </x:c>
      <x:c r="S195" s="18" t="str">
        <x:v>Structured SoundCloud catalog metadata matches artist, title, and intended unaltered version.</x:v>
      </x:c>
      <x:c r="T195" s="18" t="str">
        <x:v>track-194</x:v>
      </x:c>
      <x:c r="U195" s="18" t="str">
        <x:v>Pair with Whack World in prose</x:v>
      </x:c>
    </x:row>
    <x:row r="196">
      <x:c r="A196" s="18" t="n">
        <x:v>195</x:v>
      </x:c>
      <x:c r="B196" s="18" t="str">
        <x:v>HH11</x:v>
      </x:c>
      <x:c r="C196" s="18" t="n">
        <x:v>2016</x:v>
      </x:c>
      <x:c r="D196" s="18" t="str">
        <x:v>Young M.A</x:v>
      </x:c>
      <x:c r="E196" s="18" t="str">
        <x:v>OOOUUU</x:v>
      </x:c>
      <x:c r="F196" s="18" t="str">
        <x:v>original single version</x:v>
      </x:c>
      <x:c r="G196" s="18" t="str">
        <x:v>Brooklyn / New York</x:v>
      </x:c>
      <x:c r="H196" s="18" t="str">
        <x:v>women; queer; street-rap</x:v>
      </x:c>
      <x:c r="I196" s="18" t="str">
        <x:v>Queer woman authority inside mainstream street-rap grammar</x:v>
      </x:c>
      <x:c r="J196" s="18" t="str">
        <x:v>selected_main_route</x:v>
      </x:c>
      <x:c r="K196" s="18" t="str">
        <x:v>verified_musicbrainz</x:v>
      </x:c>
      <x:c r="L196" s="18" t="str">
        <x:v>https://musicbrainz.org/recording/ff740487-b0cd-44b4-9d3a-5261f47737da</x:v>
      </x:c>
      <x:c r="M196" s="18" t="str">
        <x:v>resolved_exact</x:v>
      </x:c>
      <x:c r="N196" s="18" t="str">
        <x:v>https://soundcloud.com/youngma/ooouuu</x:v>
      </x:c>
      <x:c r="O196" s="18" t="n">
        <x:v>574121049</x:v>
      </x:c>
      <x:c r="P196" s="18" t="str">
        <x:v>Young M.A</x:v>
      </x:c>
      <x:c r="Q196" s="18" t="n">
        <x:v>228618</x:v>
      </x:c>
      <x:c r="R196" s="18" t="str">
        <x:v>open_or_monetized</x:v>
      </x:c>
      <x:c r="S196" s="18" t="str">
        <x:v>Structured SoundCloud catalog metadata matches artist, title, and intended unaltered version.</x:v>
      </x:c>
      <x:c r="T196" s="18" t="str">
        <x:v>track-195</x:v>
      </x:c>
      <x:c r="U196" s="18" t="str">
        <x:v>Canonical</x:v>
      </x:c>
    </x:row>
    <x:row r="197">
      <x:c r="A197" s="18" t="n">
        <x:v>196</x:v>
      </x:c>
      <x:c r="B197" s="18" t="str">
        <x:v>HH11</x:v>
      </x:c>
      <x:c r="C197" s="18" t="n">
        <x:v>2019</x:v>
      </x:c>
      <x:c r="D197" s="18" t="str">
        <x:v>Dave</x:v>
      </x:c>
      <x:c r="E197" s="18" t="str">
        <x:v>Black</x:v>
      </x:c>
      <x:c r="F197" s="18" t="str">
        <x:v>original Psychodrama album version</x:v>
      </x:c>
      <x:c r="G197" s="18" t="str">
        <x:v>London / United Kingdom</x:v>
      </x:c>
      <x:c r="H197" s="18" t="str">
        <x:v>UK-rap; political; piano</x:v>
      </x:c>
      <x:c r="I197" s="18" t="str">
        <x:v>Black British historical argument and perspective changes</x:v>
      </x:c>
      <x:c r="J197" s="18" t="str">
        <x:v>selected_main_route</x:v>
      </x:c>
      <x:c r="K197" s="18" t="str">
        <x:v>verified_musicbrainz</x:v>
      </x:c>
      <x:c r="L197" s="18" t="str">
        <x:v>https://musicbrainz.org/recording/6e291e1f-0dc3-4e7e-8f8b-1cd9f89cd966</x:v>
      </x:c>
      <x:c r="M197" s="18" t="str">
        <x:v>resolved_exact</x:v>
      </x:c>
      <x:c r="N197" s="18" t="str">
        <x:v>https://soundcloud.com/santandave/black</x:v>
      </x:c>
      <x:c r="O197" s="18" t="n">
        <x:v>586567077</x:v>
      </x:c>
      <x:c r="P197" s="18" t="str">
        <x:v>Dave</x:v>
      </x:c>
      <x:c r="Q197" s="18" t="n">
        <x:v>228310</x:v>
      </x:c>
      <x:c r="R197" s="18" t="str">
        <x:v>open_or_monetized</x:v>
      </x:c>
      <x:c r="S197" s="18" t="str">
        <x:v>Structured SoundCloud catalog metadata matches artist, title, and intended unaltered version.</x:v>
      </x:c>
      <x:c r="T197" s="18" t="str">
        <x:v>track-196</x:v>
      </x:c>
      <x:c r="U197" s="18" t="str">
        <x:v>Album versus BRIT performance distinction</x:v>
      </x:c>
    </x:row>
    <x:row r="198">
      <x:c r="A198" s="18" t="n">
        <x:v>197</x:v>
      </x:c>
      <x:c r="B198" s="18" t="str">
        <x:v>HH11</x:v>
      </x:c>
      <x:c r="C198" s="18" t="n">
        <x:v>2019</x:v>
      </x:c>
      <x:c r="D198" s="18" t="str">
        <x:v>Little Simz</x:v>
      </x:c>
      <x:c r="E198" s="18" t="str">
        <x:v>Venom</x:v>
      </x:c>
      <x:c r="F198" s="18" t="str">
        <x:v>original GREY Area album version</x:v>
      </x:c>
      <x:c r="G198" s="18" t="str">
        <x:v>London / United Kingdom</x:v>
      </x:c>
      <x:c r="H198" s="18" t="str">
        <x:v>women; lyrical; experimental</x:v>
      </x:c>
      <x:c r="I198" s="18" t="str">
        <x:v>Controlled technical escalation and producer partnership</x:v>
      </x:c>
      <x:c r="J198" s="18" t="str">
        <x:v>selected_main_route</x:v>
      </x:c>
      <x:c r="K198" s="18" t="str">
        <x:v>verified_musicbrainz</x:v>
      </x:c>
      <x:c r="L198" s="18" t="str">
        <x:v>https://musicbrainz.org/recording/2472ebf2-e761-44b0-ac27-e88b83f0a429</x:v>
      </x:c>
      <x:c r="M198" s="18" t="str">
        <x:v>resolved_exact</x:v>
      </x:c>
      <x:c r="N198" s="18" t="str">
        <x:v>https://soundcloud.com/littlesimz/venom-1</x:v>
      </x:c>
      <x:c r="O198" s="18" t="n">
        <x:v>533892180</x:v>
      </x:c>
      <x:c r="P198" s="18" t="str">
        <x:v>Little Simz</x:v>
      </x:c>
      <x:c r="Q198" s="18" t="n">
        <x:v>154776</x:v>
      </x:c>
      <x:c r="R198" s="18" t="str">
        <x:v>open_or_monetized</x:v>
      </x:c>
      <x:c r="S198" s="18" t="str">
        <x:v>Structured SoundCloud catalog metadata matches artist, title, and intended unaltered version.</x:v>
      </x:c>
      <x:c r="T198" s="18" t="str">
        <x:v>track-197</x:v>
      </x:c>
      <x:c r="U198" s="18" t="str">
        <x:v>Likely Tom route</x:v>
      </x:c>
    </x:row>
    <x:row r="199">
      <x:c r="A199" s="18" t="n">
        <x:v>198</x:v>
      </x:c>
      <x:c r="B199" s="18" t="str">
        <x:v>HH11</x:v>
      </x:c>
      <x:c r="C199" s="18" t="n">
        <x:v>2017</x:v>
      </x:c>
      <x:c r="D199" s="18" t="str">
        <x:v>Cardi B</x:v>
      </x:c>
      <x:c r="E199" s="18" t="str">
        <x:v>Bodak Yellow</x:v>
      </x:c>
      <x:c r="F199" s="18" t="str">
        <x:v>original single/Invasion of Privacy version</x:v>
      </x:c>
      <x:c r="G199" s="18" t="str">
        <x:v>Bronx / New York</x:v>
      </x:c>
      <x:c r="H199" s="18" t="str">
        <x:v>women; mainstream; trap</x:v>
      </x:c>
      <x:c r="I199" s="18" t="str">
        <x:v>Woman-led mainstream breakthrough through forceful speech rhythm</x:v>
      </x:c>
      <x:c r="J199" s="18" t="str">
        <x:v>selected_main_route</x:v>
      </x:c>
      <x:c r="K199" s="18" t="str">
        <x:v>verified_musicbrainz</x:v>
      </x:c>
      <x:c r="L199" s="18" t="str">
        <x:v>https://musicbrainz.org/recording/91341a83-c7ba-4204-853d-46c74e3eab15</x:v>
      </x:c>
      <x:c r="M199" s="18" t="str">
        <x:v>resolved_exact</x:v>
      </x:c>
      <x:c r="N199" s="18" t="str">
        <x:v>https://soundcloud.com/iamcardib/bodak-yellow-1</x:v>
      </x:c>
      <x:c r="O199" s="18" t="n">
        <x:v>329405148</x:v>
      </x:c>
      <x:c r="P199" s="18" t="str">
        <x:v>Cardi B</x:v>
      </x:c>
      <x:c r="Q199" s="18" t="n">
        <x:v>223765</x:v>
      </x:c>
      <x:c r="R199" s="18" t="str">
        <x:v>open_or_monetized</x:v>
      </x:c>
      <x:c r="S199" s="18" t="str">
        <x:v>Structured SoundCloud catalog metadata matches artist, title, and intended unaltered version.</x:v>
      </x:c>
      <x:c r="T199" s="18" t="str">
        <x:v>track-198</x:v>
      </x:c>
      <x:c r="U199" s="18" t="str">
        <x:v>Single and album master compare</x:v>
      </x:c>
    </x:row>
    <x:row r="200">
      <x:c r="A200" s="18" t="n">
        <x:v>199</x:v>
      </x:c>
      <x:c r="B200" s="18" t="str">
        <x:v>HH11</x:v>
      </x:c>
      <x:c r="C200" s="18" t="n">
        <x:v>2019</x:v>
      </x:c>
      <x:c r="D200" s="18" t="str">
        <x:v>Sampa the Great</x:v>
      </x:c>
      <x:c r="E200" s="18" t="str">
        <x:v>Final Form</x:v>
      </x:c>
      <x:c r="F200" s="18" t="str">
        <x:v>original single/The Return version</x:v>
      </x:c>
      <x:c r="G200" s="18" t="str">
        <x:v>Zambia / Botswana / Australia</x:v>
      </x:c>
      <x:c r="H200" s="18" t="str">
        <x:v>African-diaspora; women; political</x:v>
      </x:c>
      <x:c r="I200" s="18" t="str">
        <x:v>Diasporic self-definition and live-funk production</x:v>
      </x:c>
      <x:c r="J200" s="18" t="str">
        <x:v>selected_main_route</x:v>
      </x:c>
      <x:c r="K200" s="18" t="str">
        <x:v>verified_musicbrainz</x:v>
      </x:c>
      <x:c r="L200" s="18" t="str">
        <x:v>https://musicbrainz.org/recording/2046c50f-bb7f-4dee-8b5c-b7b80d45b3dc</x:v>
      </x:c>
      <x:c r="M200" s="18" t="str">
        <x:v>resolved_exact</x:v>
      </x:c>
      <x:c r="N200" s="18" t="str">
        <x:v>https://soundcloud.com/sampa-tembo/final_form</x:v>
      </x:c>
      <x:c r="O200" s="18" t="n">
        <x:v>632037084</x:v>
      </x:c>
      <x:c r="P200" s="18" t="str">
        <x:v>Sampa The Great</x:v>
      </x:c>
      <x:c r="Q200" s="18" t="n">
        <x:v>216861</x:v>
      </x:c>
      <x:c r="R200" s="18" t="str">
        <x:v>open_or_monetized</x:v>
      </x:c>
      <x:c r="S200" s="18" t="str">
        <x:v>Structured SoundCloud catalog metadata matches artist, title, and intended unaltered version.</x:v>
      </x:c>
      <x:c r="T200" s="18" t="str">
        <x:v>track-199</x:v>
      </x:c>
      <x:c r="U200" s="18" t="str">
        <x:v>Version verify</x:v>
      </x:c>
    </x:row>
    <x:row r="201">
      <x:c r="A201" s="18" t="n">
        <x:v>200</x:v>
      </x:c>
      <x:c r="B201" s="18" t="str">
        <x:v>HH11</x:v>
      </x:c>
      <x:c r="C201" s="18" t="n">
        <x:v>2018</x:v>
      </x:c>
      <x:c r="D201" s="18" t="str">
        <x:v>Nasty C</x:v>
      </x:c>
      <x:c r="E201" s="18" t="str">
        <x:v>Strings and Bling</x:v>
      </x:c>
      <x:c r="F201" s="18" t="str">
        <x:v>original album version</x:v>
      </x:c>
      <x:c r="G201" s="18" t="str">
        <x:v>Durban / South Africa</x:v>
      </x:c>
      <x:c r="H201" s="18" t="str">
        <x:v>South-African-rap; melodic; mainstream</x:v>
      </x:c>
      <x:c r="I201" s="18" t="str">
        <x:v>African mainstream rap craft and melodic range</x:v>
      </x:c>
      <x:c r="J201" s="18" t="str">
        <x:v>selected_main_route</x:v>
      </x:c>
      <x:c r="K201" s="18" t="str">
        <x:v>verified_musicbrainz</x:v>
      </x:c>
      <x:c r="L201" s="18" t="str">
        <x:v>https://musicbrainz.org/recording/f45323a4-ee62-46c5-a550-6cc3d36f182f</x:v>
      </x:c>
      <x:c r="M201" s="18" t="str">
        <x:v>resolved_exact</x:v>
      </x:c>
      <x:c r="N201" s="18" t="str">
        <x:v>https://soundcloud.com/ivour/strings-and-bling</x:v>
      </x:c>
      <x:c r="O201" s="18" t="n">
        <x:v>467650848</x:v>
      </x:c>
      <x:c r="P201" s="18" t="str">
        <x:v>Nasty C</x:v>
      </x:c>
      <x:c r="Q201" s="18" t="n">
        <x:v>224150</x:v>
      </x:c>
      <x:c r="R201" s="18" t="str">
        <x:v>subscriber_catalog</x:v>
      </x:c>
      <x:c r="S201" s="18" t="str">
        <x:v>Structured SoundCloud catalog metadata matches artist, title, and intended unaltered version.</x:v>
      </x:c>
      <x:c r="T201" s="18" t="str">
        <x:v>track-200</x:v>
      </x:c>
      <x:c r="U201" s="18" t="str">
        <x:v>Avoid tokenizing as national representative</x:v>
      </x:c>
    </x:row>
    <x:row r="202">
      <x:c r="A202" s="18" t="n">
        <x:v>201</x:v>
      </x:c>
      <x:c r="B202" s="18" t="str">
        <x:v>HH11</x:v>
      </x:c>
      <x:c r="C202" s="18" t="n">
        <x:v>2019</x:v>
      </x:c>
      <x:c r="D202" s="18" t="str">
        <x:v>Pop Smoke</x:v>
      </x:c>
      <x:c r="E202" s="18" t="str">
        <x:v>Dior</x:v>
      </x:c>
      <x:c r="F202" s="18" t="str">
        <x:v>original Meet the Woo version</x:v>
      </x:c>
      <x:c r="G202" s="18" t="str">
        <x:v>Brooklyn / New York</x:v>
      </x:c>
      <x:c r="H202" s="18" t="str">
        <x:v>Brooklyn-drill; UK-producer-circuit; street</x:v>
      </x:c>
      <x:c r="I202" s="18" t="str">
        <x:v>Brooklyn drill's reciprocal production circuit with the United Kingdom</x:v>
      </x:c>
      <x:c r="J202" s="18" t="str">
        <x:v>selected_main_route</x:v>
      </x:c>
      <x:c r="K202" s="18" t="str">
        <x:v>verified_musicbrainz</x:v>
      </x:c>
      <x:c r="L202" s="18" t="str">
        <x:v>https://musicbrainz.org/recording/b7d9decd-2730-4ef5-99b4-60b41f647cf8</x:v>
      </x:c>
      <x:c r="M202" s="18" t="str">
        <x:v>resolved_exact</x:v>
      </x:c>
      <x:c r="N202" s="18" t="str">
        <x:v>https://soundcloud.com/biggavelipro/dior</x:v>
      </x:c>
      <x:c r="O202" s="18" t="n">
        <x:v>656255261</x:v>
      </x:c>
      <x:c r="P202" s="18" t="str">
        <x:v>POP SMOKE</x:v>
      </x:c>
      <x:c r="Q202" s="18" t="n">
        <x:v>216424</x:v>
      </x:c>
      <x:c r="R202" s="18" t="str">
        <x:v>open_or_monetized</x:v>
      </x:c>
      <x:c r="S202" s="18" t="str">
        <x:v>Structured SoundCloud catalog metadata matches artist, title, and intended unaltered version.</x:v>
      </x:c>
      <x:c r="T202" s="18" t="str">
        <x:v>track-201</x:v>
      </x:c>
      <x:c r="U202" s="18" t="str">
        <x:v>Original mixtape master and producer credit</x:v>
      </x:c>
    </x:row>
    <x:row r="203">
      <x:c r="A203" s="18" t="n">
        <x:v>202</x:v>
      </x:c>
      <x:c r="B203" s="18" t="str">
        <x:v>HH11</x:v>
      </x:c>
      <x:c r="C203" s="18" t="n">
        <x:v>2016</x:v>
      </x:c>
      <x:c r="D203" s="18" t="str">
        <x:v>Mare Advertencia Lirika</x:v>
      </x:c>
      <x:c r="E203" s="18" t="str">
        <x:v>Libres y Vivas</x:v>
      </x:c>
      <x:c r="F203" s="18" t="str">
        <x:v>original version</x:v>
      </x:c>
      <x:c r="G203" s="18" t="str">
        <x:v>Oaxaca / Mexico</x:v>
      </x:c>
      <x:c r="H203" s="18" t="str">
        <x:v>women; Indigenous; political; Spanish</x:v>
      </x:c>
      <x:c r="I203" s="18" t="str">
        <x:v>Indigenous woman political rap and local movement infrastructure</x:v>
      </x:c>
      <x:c r="J203" s="18" t="str">
        <x:v>selected_main_route</x:v>
      </x:c>
      <x:c r="K203" s="18" t="str">
        <x:v>verified_musicbrainz</x:v>
      </x:c>
      <x:c r="L203" s="18" t="str">
        <x:v>https://musicbrainz.org/recording/96981b30-dcb4-40a3-a276-6b733e5e320a</x:v>
      </x:c>
      <x:c r="M203" s="18" t="str">
        <x:v>resolved_exact</x:v>
      </x:c>
      <x:c r="N203" s="18" t="str">
        <x:v>https://soundcloud.com/mareadvertencialirika/libres-y-vivas</x:v>
      </x:c>
      <x:c r="O203" s="18" t="n">
        <x:v>1832741526</x:v>
      </x:c>
      <x:c r="P203" s="18" t="str">
        <x:v>Mare Advertencia Lirika</x:v>
      </x:c>
      <x:c r="Q203" s="18" t="n">
        <x:v>171024</x:v>
      </x:c>
      <x:c r="R203" s="18" t="str">
        <x:v>open_or_monetized</x:v>
      </x:c>
      <x:c r="S203" s="18" t="str">
        <x:v>Structured SoundCloud catalog metadata matches artist, title, and intended unaltered version.</x:v>
      </x:c>
      <x:c r="T203" s="18" t="str">
        <x:v>track-202</x:v>
      </x:c>
      <x:c r="U203" s="18" t="str">
        <x:v>Exact release/date/language context verify</x:v>
      </x:c>
    </x:row>
    <x:row r="204">
      <x:c r="A204" s="18" t="n">
        <x:v>203</x:v>
      </x:c>
      <x:c r="B204" s="18" t="str">
        <x:v>HH12</x:v>
      </x:c>
      <x:c r="C204" s="18" t="n">
        <x:v>2023</x:v>
      </x:c>
      <x:c r="D204" s="18" t="str">
        <x:v>billy woods and Kenny Segal</x:v>
      </x:c>
      <x:c r="E204" s="18" t="str">
        <x:v>Soft Landing</x:v>
      </x:c>
      <x:c r="F204" s="18" t="str">
        <x:v>original Maps album version</x:v>
      </x:c>
      <x:c r="G204" s="18" t="str">
        <x:v>New York / Los Angeles</x:v>
      </x:c>
      <x:c r="H204" s="18" t="str">
        <x:v>abstract; producer-MC; narrative</x:v>
      </x:c>
      <x:c r="I204" s="18" t="str">
        <x:v>Elliptical travel writing and producer-MC world building</x:v>
      </x:c>
      <x:c r="J204" s="18" t="str">
        <x:v>selected_main_route</x:v>
      </x:c>
      <x:c r="K204" s="18" t="str">
        <x:v>verified_soundcloud_catalog</x:v>
      </x:c>
      <x:c r="L204" s="18" t="str">
        <x:v>https://soundcloud.com/billywoods-music/soft-landing</x:v>
      </x:c>
      <x:c r="M204" s="18" t="str">
        <x:v>resolved_exact</x:v>
      </x:c>
      <x:c r="N204" s="18" t="str">
        <x:v>https://soundcloud.com/billywoods-music/soft-landing</x:v>
      </x:c>
      <x:c r="O204" s="18" t="n">
        <x:v>1471302037</x:v>
      </x:c>
      <x:c r="P204" s="18" t="str">
        <x:v>Billy Woods</x:v>
      </x:c>
      <x:c r="Q204" s="18" t="n">
        <x:v>173688</x:v>
      </x:c>
      <x:c r="R204" s="18" t="str">
        <x:v>open_or_monetized</x:v>
      </x:c>
      <x:c r="S204" s="18" t="str">
        <x:v>Structured SoundCloud catalog metadata matches artist, title, and intended unaltered version.</x:v>
      </x:c>
      <x:c r="T204" s="18" t="str">
        <x:v>track-203</x:v>
      </x:c>
      <x:c r="U204" s="18" t="str">
        <x:v>Contemporary connoisseur anchor</x:v>
      </x:c>
    </x:row>
    <x:row r="205">
      <x:c r="A205" s="18" t="n">
        <x:v>204</x:v>
      </x:c>
      <x:c r="B205" s="18" t="str">
        <x:v>HH12</x:v>
      </x:c>
      <x:c r="C205" s="18" t="n">
        <x:v>2020</x:v>
      </x:c>
      <x:c r="D205" s="18" t="str">
        <x:v>Boldy James and The Alchemist</x:v>
      </x:c>
      <x:c r="E205" s="18" t="str">
        <x:v>Brickmile to Montana</x:v>
      </x:c>
      <x:c r="F205" s="18" t="str">
        <x:v>original The Price of Tea in China version</x:v>
      </x:c>
      <x:c r="G205" s="18" t="str">
        <x:v>Detroit / Los Angeles</x:v>
      </x:c>
      <x:c r="H205" s="18" t="str">
        <x:v>underground; producer-MC; street</x:v>
      </x:c>
      <x:c r="I205" s="18" t="str">
        <x:v>Minimal producer-MC revival and elliptical Detroit street writing</x:v>
      </x:c>
      <x:c r="J205" s="18" t="str">
        <x:v>selected_main_route</x:v>
      </x:c>
      <x:c r="K205" s="18" t="str">
        <x:v>verified_soundcloud_catalog</x:v>
      </x:c>
      <x:c r="L205" s="18" t="str">
        <x:v>https://soundcloud.com/boldyjames/boldy-james-the-alchemist-7</x:v>
      </x:c>
      <x:c r="M205" s="18" t="str">
        <x:v>resolved_exact</x:v>
      </x:c>
      <x:c r="N205" s="18" t="str">
        <x:v>https://soundcloud.com/boldyjames/boldy-james-the-alchemist-7</x:v>
      </x:c>
      <x:c r="O205" s="18" t="n">
        <x:v>1108967089</x:v>
      </x:c>
      <x:c r="P205" s="18" t="str">
        <x:v>Boldy James</x:v>
      </x:c>
      <x:c r="Q205" s="18" t="n">
        <x:v>160183</x:v>
      </x:c>
      <x:c r="R205" s="18" t="str">
        <x:v>open_or_monetized</x:v>
      </x:c>
      <x:c r="S205" s="18" t="str">
        <x:v>Structured SoundCloud catalog metadata matches artist, title, and intended unaltered version.</x:v>
      </x:c>
      <x:c r="T205" s="18" t="str">
        <x:v>track-204</x:v>
      </x:c>
      <x:c r="U205" s="18" t="str">
        <x:v>Version verify</x:v>
      </x:c>
    </x:row>
    <x:row r="206">
      <x:c r="A206" s="18" t="n">
        <x:v>205</x:v>
      </x:c>
      <x:c r="B206" s="18" t="str">
        <x:v>HH12</x:v>
      </x:c>
      <x:c r="C206" s="18" t="n">
        <x:v>2022</x:v>
      </x:c>
      <x:c r="D206" s="18" t="str">
        <x:v>Kendrick Lamar</x:v>
      </x:c>
      <x:c r="E206" s="18" t="str">
        <x:v>The Heart Part 5</x:v>
      </x:c>
      <x:c r="F206" s="18" t="str">
        <x:v>original single version</x:v>
      </x:c>
      <x:c r="G206" s="18" t="str">
        <x:v>Compton / California</x:v>
      </x:c>
      <x:c r="H206" s="18" t="str">
        <x:v>political; persona; video</x:v>
      </x:c>
      <x:c r="I206" s="18" t="str">
        <x:v>Shifting public persona grief responsibility and visual text</x:v>
      </x:c>
      <x:c r="J206" s="18" t="str">
        <x:v>selected_main_route</x:v>
      </x:c>
      <x:c r="K206" s="18" t="str">
        <x:v>verified_musicbrainz</x:v>
      </x:c>
      <x:c r="L206" s="18" t="str">
        <x:v>https://musicbrainz.org/recording/75f23da0-114a-4cc1-9d94-0ba018018a89</x:v>
      </x:c>
      <x:c r="M206" s="18" t="str">
        <x:v>resolved_exact</x:v>
      </x:c>
      <x:c r="N206" s="18" t="str">
        <x:v>https://soundcloud.com/kendrick-lamar-music/the-heart-part-5</x:v>
      </x:c>
      <x:c r="O206" s="18" t="n">
        <x:v>1264605370</x:v>
      </x:c>
      <x:c r="P206" s="18" t="str">
        <x:v>Kendrick Lamar</x:v>
      </x:c>
      <x:c r="Q206" s="18" t="n">
        <x:v>332408</x:v>
      </x:c>
      <x:c r="R206" s="18" t="str">
        <x:v>open_or_monetized</x:v>
      </x:c>
      <x:c r="S206" s="18" t="str">
        <x:v>Structured SoundCloud catalog metadata matches artist, title, and intended unaltered version.</x:v>
      </x:c>
      <x:c r="T206" s="18" t="str">
        <x:v>track-205</x:v>
      </x:c>
      <x:c r="U206" s="18" t="str">
        <x:v>Video context is integral</x:v>
      </x:c>
    </x:row>
    <x:row r="207">
      <x:c r="A207" s="18" t="n">
        <x:v>206</x:v>
      </x:c>
      <x:c r="B207" s="18" t="str">
        <x:v>HH12</x:v>
      </x:c>
      <x:c r="C207" s="18" t="n">
        <x:v>2022</x:v>
      </x:c>
      <x:c r="D207" s="18" t="str">
        <x:v>JID featuring Kenny Mason</x:v>
      </x:c>
      <x:c r="E207" s="18" t="str">
        <x:v>Dance Now</x:v>
      </x:c>
      <x:c r="F207" s="18" t="str">
        <x:v>original The Forever Story version</x:v>
      </x:c>
      <x:c r="G207" s="18" t="str">
        <x:v>Atlanta</x:v>
      </x:c>
      <x:c r="H207" s="18" t="str">
        <x:v>lyrical; modern-South; rhythm</x:v>
      </x:c>
      <x:c r="I207" s="18" t="str">
        <x:v>Contemporary technical flow within Southern lineage</x:v>
      </x:c>
      <x:c r="J207" s="18" t="str">
        <x:v>selected_main_route</x:v>
      </x:c>
      <x:c r="K207" s="18" t="str">
        <x:v>verified_musicbrainz</x:v>
      </x:c>
      <x:c r="L207" s="18" t="str">
        <x:v>https://musicbrainz.org/recording/51283228-db70-4101-a48f-1e7322902b01</x:v>
      </x:c>
      <x:c r="M207" s="18" t="str">
        <x:v>resolved_exact</x:v>
      </x:c>
      <x:c r="N207" s="18" t="str">
        <x:v>https://soundcloud.com/jidsv/dance-now</x:v>
      </x:c>
      <x:c r="O207" s="18" t="n">
        <x:v>1317758944</x:v>
      </x:c>
      <x:c r="P207" s="18" t="str">
        <x:v>JID</x:v>
      </x:c>
      <x:c r="Q207" s="18" t="n">
        <x:v>227605</x:v>
      </x:c>
      <x:c r="R207" s="18" t="str">
        <x:v>open_or_monetized</x:v>
      </x:c>
      <x:c r="S207" s="18" t="str">
        <x:v>Structured SoundCloud catalog metadata matches artist, title, and intended unaltered version.</x:v>
      </x:c>
      <x:c r="T207" s="18" t="str">
        <x:v>track-206</x:v>
      </x:c>
      <x:c r="U207" s="18" t="str">
        <x:v>Feature and sample credits</x:v>
      </x:c>
    </x:row>
    <x:row r="208">
      <x:c r="A208" s="18" t="n">
        <x:v>207</x:v>
      </x:c>
      <x:c r="B208" s="18" t="str">
        <x:v>HH12</x:v>
      </x:c>
      <x:c r="C208" s="18" t="n">
        <x:v>2024</x:v>
      </x:c>
      <x:c r="D208" s="18" t="str">
        <x:v>Doechii</x:v>
      </x:c>
      <x:c r="E208" s="18" t="str">
        <x:v>Nissan Altima</x:v>
      </x:c>
      <x:c r="F208" s="18" t="str">
        <x:v>original Alligator Bites Never Heal version</x:v>
      </x:c>
      <x:c r="G208" s="18" t="str">
        <x:v>Florida</x:v>
      </x:c>
      <x:c r="H208" s="18" t="str">
        <x:v>women; queer; mixtape-form; battle</x:v>
      </x:c>
      <x:c r="I208" s="18" t="str">
        <x:v>Rapid flow switches humor and modern mixtape framing</x:v>
      </x:c>
      <x:c r="J208" s="18" t="str">
        <x:v>selected_main_route</x:v>
      </x:c>
      <x:c r="K208" s="18" t="str">
        <x:v>verified_musicbrainz</x:v>
      </x:c>
      <x:c r="L208" s="18" t="str">
        <x:v>https://musicbrainz.org/recording/c24f8a4a-456e-489c-8a6a-44ee1c8e39b8</x:v>
      </x:c>
      <x:c r="M208" s="18" t="str">
        <x:v>resolved_exact</x:v>
      </x:c>
      <x:c r="N208" s="18" t="str">
        <x:v>https://soundcloud.com/iam-doechii/doechii-nissan-altima</x:v>
      </x:c>
      <x:c r="O208" s="18" t="n">
        <x:v>1886070702</x:v>
      </x:c>
      <x:c r="P208" s="18" t="str">
        <x:v>Doechii</x:v>
      </x:c>
      <x:c r="Q208" s="18" t="n">
        <x:v>128183</x:v>
      </x:c>
      <x:c r="R208" s="18" t="str">
        <x:v>open_or_monetized</x:v>
      </x:c>
      <x:c r="S208" s="18" t="str">
        <x:v>Structured SoundCloud catalog metadata matches artist, title, and intended unaltered version.</x:v>
      </x:c>
      <x:c r="T208" s="18" t="str">
        <x:v>track-207</x:v>
      </x:c>
      <x:c r="U208" s="18" t="str">
        <x:v>Current judgment remains provisional</x:v>
      </x:c>
    </x:row>
    <x:row r="209">
      <x:c r="A209" s="18" t="n">
        <x:v>208</x:v>
      </x:c>
      <x:c r="B209" s="18" t="str">
        <x:v>HH12</x:v>
      </x:c>
      <x:c r="C209" s="18" t="n">
        <x:v>2025</x:v>
      </x:c>
      <x:c r="D209" s="18" t="str">
        <x:v>Clipse featuring John Legend and Voices of Fire</x:v>
      </x:c>
      <x:c r="E209" s="18" t="str">
        <x:v>The Birds Don't Sing</x:v>
      </x:c>
      <x:c r="F209" s="18" t="str">
        <x:v>original Let God Sort Em Out album version</x:v>
      </x:c>
      <x:c r="G209" s="18" t="str">
        <x:v>Virginia Beach / Virginia</x:v>
      </x:c>
      <x:c r="H209" s="18" t="str">
        <x:v>duo; lyrical; mourning; producer-auteur</x:v>
      </x:c>
      <x:c r="I209" s="18" t="str">
        <x:v>An elder duo's return joins familial mourning, moral reflection, and Pharrell production continuity</x:v>
      </x:c>
      <x:c r="J209" s="18" t="str">
        <x:v>selected_main_route</x:v>
      </x:c>
      <x:c r="K209" s="18" t="str">
        <x:v>verified_soundcloud_catalog</x:v>
      </x:c>
      <x:c r="L209" s="18" t="str">
        <x:v>https://soundcloud.com/clipse-official/the-birds-dont-sing</x:v>
      </x:c>
      <x:c r="M209" s="18" t="str">
        <x:v>resolved_exact</x:v>
      </x:c>
      <x:c r="N209" s="18" t="str">
        <x:v>https://soundcloud.com/clipse-official/the-birds-dont-sing</x:v>
      </x:c>
      <x:c r="O209" s="18" t="n">
        <x:v>2128519518</x:v>
      </x:c>
      <x:c r="P209" s="18" t="str">
        <x:v>Clipse</x:v>
      </x:c>
      <x:c r="Q209" s="18" t="n">
        <x:v>240640</x:v>
      </x:c>
      <x:c r="R209" s="18" t="str">
        <x:v>open_or_monetized</x:v>
      </x:c>
      <x:c r="S209" s="18" t="str">
        <x:v>Artist-controlled Clipse upload matches the 2025 album recording.</x:v>
      </x:c>
      <x:c r="T209" s="18" t="str">
        <x:v>track-208</x:v>
      </x:c>
      <x:c r="U209" s="18" t="str">
        <x:v>Current endpoint; official catalog</x:v>
      </x:c>
    </x:row>
    <x:row r="210">
      <x:c r="A210" s="18" t="n">
        <x:v>209</x:v>
      </x:c>
      <x:c r="B210" s="18" t="str">
        <x:v>HH12</x:v>
      </x:c>
      <x:c r="C210" s="18" t="n">
        <x:v>2022</x:v>
      </x:c>
      <x:c r="D210" s="18" t="str">
        <x:v>MIKE</x:v>
      </x:c>
      <x:c r="E210" s="18" t="str">
        <x:v>Nuthin I can do is Wrng</x:v>
      </x:c>
      <x:c r="F210" s="18" t="str">
        <x:v>original Beware of the Monkey version</x:v>
      </x:c>
      <x:c r="G210" s="18" t="str">
        <x:v>New York</x:v>
      </x:c>
      <x:c r="H210" s="18" t="str">
        <x:v>abstract; lo-fi; independent</x:v>
      </x:c>
      <x:c r="I210" s="18" t="str">
        <x:v>Compressed sample collage self-production and independent ecosystem</x:v>
      </x:c>
      <x:c r="J210" s="18" t="str">
        <x:v>selected_main_route</x:v>
      </x:c>
      <x:c r="K210" s="18" t="str">
        <x:v>verified_artist_or_label</x:v>
      </x:c>
      <x:c r="L210" s="18" t="str">
        <x:v>https://mikelikesrap.bandcamp.com/track/nuthin-i-can-do-is-wrng</x:v>
      </x:c>
      <x:c r="M210" s="18" t="str">
        <x:v>resolved_exact_unofficial</x:v>
      </x:c>
      <x:c r="N210" s="18" t="str">
        <x:v>https://soundcloud.com/user-707931108/mike-nuthin-i-can-do-is-wrng</x:v>
      </x:c>
      <x:c r="O210" s="18" t="n">
        <x:v>1362481045</x:v>
      </x:c>
      <x:c r="P210" s="18" t="str">
        <x:v>,,,Bob</x:v>
      </x:c>
      <x:c r="Q210" s="18" t="n">
        <x:v>124839</x:v>
      </x:c>
      <x:c r="R210" s="18" t="str">
        <x:v>open_or_monetized</x:v>
      </x:c>
      <x:c r="S210" s="18" t="str">
        <x:v>Track-length user upload matches the artist/label Bandcamp master; the SoundCloud album upload was not used as a playlist item.</x:v>
      </x:c>
      <x:c r="T210" s="18" t="str">
        <x:v>track-209</x:v>
      </x:c>
      <x:c r="U210" s="18" t="str">
        <x:v>Artist Bandcamp verifies title album date and production credit</x:v>
      </x:c>
    </x:row>
    <x:row r="211">
      <x:c r="A211" s="18" t="n">
        <x:v>210</x:v>
      </x:c>
      <x:c r="B211" s="18" t="str">
        <x:v>HH12</x:v>
      </x:c>
      <x:c r="C211" s="18" t="n">
        <x:v>2021</x:v>
      </x:c>
      <x:c r="D211" s="18" t="str">
        <x:v>Babyface Ray</x:v>
      </x:c>
      <x:c r="E211" s="18" t="str">
        <x:v>Paperwork Party</x:v>
      </x:c>
      <x:c r="F211" s="18" t="str">
        <x:v>original Unfuckwitable version</x:v>
      </x:c>
      <x:c r="G211" s="18" t="str">
        <x:v>Detroit</x:v>
      </x:c>
      <x:c r="H211" s="18" t="str">
        <x:v>Detroit; conversational-flow; street</x:v>
      </x:c>
      <x:c r="I211" s="18" t="str">
        <x:v>Off-center conversational rhythm in modern Detroit rap</x:v>
      </x:c>
      <x:c r="J211" s="18" t="str">
        <x:v>selected_main_route</x:v>
      </x:c>
      <x:c r="K211" s="18" t="str">
        <x:v>verified_musicbrainz</x:v>
      </x:c>
      <x:c r="L211" s="18" t="str">
        <x:v>https://musicbrainz.org/recording/a16b0b3d-adcb-4d94-92a1-e8845441866c</x:v>
      </x:c>
      <x:c r="M211" s="18" t="str">
        <x:v>resolved_exact</x:v>
      </x:c>
      <x:c r="N211" s="18" t="str">
        <x:v>https://soundcloud.com/miababyfaceray/paperwork-party</x:v>
      </x:c>
      <x:c r="O211" s="18" t="n">
        <x:v>1897391019</x:v>
      </x:c>
      <x:c r="P211" s="18" t="str">
        <x:v>Babyface Ray</x:v>
      </x:c>
      <x:c r="Q211" s="18" t="n">
        <x:v>176483</x:v>
      </x:c>
      <x:c r="R211" s="18" t="str">
        <x:v>open_or_monetized</x:v>
      </x:c>
      <x:c r="S211" s="18" t="str">
        <x:v>Structured SoundCloud catalog metadata matches artist, title, and intended unaltered version.</x:v>
      </x:c>
      <x:c r="T211" s="18" t="str">
        <x:v>track-210</x:v>
      </x:c>
      <x:c r="U211" s="18" t="str">
        <x:v>Version verify</x:v>
      </x:c>
    </x:row>
    <x:row r="212">
      <x:c r="A212" s="18" t="n">
        <x:v>211</x:v>
      </x:c>
      <x:c r="B212" s="18" t="str">
        <x:v>HH12</x:v>
      </x:c>
      <x:c r="C212" s="18" t="n">
        <x:v>2021</x:v>
      </x:c>
      <x:c r="D212" s="18" t="str">
        <x:v>Yeat</x:v>
      </x:c>
      <x:c r="E212" s="18" t="str">
        <x:v>Gët Busy</x:v>
      </x:c>
      <x:c r="F212" s="18" t="str">
        <x:v>original Up 2 Më version</x:v>
      </x:c>
      <x:c r="G212" s="18" t="str">
        <x:v>Oregon / internet</x:v>
      </x:c>
      <x:c r="H212" s="18" t="str">
        <x:v>rage; plugg-descendant; vocal-timbre</x:v>
      </x:c>
      <x:c r="I212" s="18" t="str">
        <x:v>Rage synthesis vocal neologism and internet producer networks</x:v>
      </x:c>
      <x:c r="J212" s="18" t="str">
        <x:v>selected_main_route</x:v>
      </x:c>
      <x:c r="K212" s="18" t="str">
        <x:v>verified_musicbrainz</x:v>
      </x:c>
      <x:c r="L212" s="18" t="str">
        <x:v>https://musicbrainz.org/recording/db19df2b-564e-4112-b0d8-d2dbd067d1f0</x:v>
      </x:c>
      <x:c r="M212" s="18" t="str">
        <x:v>resolved_exact</x:v>
      </x:c>
      <x:c r="N212" s="18" t="str">
        <x:v>https://soundcloud.com/lilyeat/get-busy-2</x:v>
      </x:c>
      <x:c r="O212" s="18" t="n">
        <x:v>1117967131</x:v>
      </x:c>
      <x:c r="P212" s="18" t="str">
        <x:v>Yeat</x:v>
      </x:c>
      <x:c r="Q212" s="18" t="n">
        <x:v>157806</x:v>
      </x:c>
      <x:c r="R212" s="18" t="str">
        <x:v>open_or_monetized</x:v>
      </x:c>
      <x:c r="S212" s="18" t="str">
        <x:v>Structured SoundCloud catalog metadata matches artist, title, and intended unaltered version.</x:v>
      </x:c>
      <x:c r="T212" s="18" t="str">
        <x:v>track-211</x:v>
      </x:c>
      <x:c r="U212" s="18" t="str">
        <x:v>Diacritics and original master verify</x:v>
      </x:c>
    </x:row>
    <x:row r="213">
      <x:c r="A213" s="18" t="n">
        <x:v>212</x:v>
      </x:c>
      <x:c r="B213" s="18" t="str">
        <x:v>HH12</x:v>
      </x:c>
      <x:c r="C213" s="18" t="n">
        <x:v>2022</x:v>
      </x:c>
      <x:c r="D213" s="18" t="str">
        <x:v>GloRilla and Hitkidd</x:v>
      </x:c>
      <x:c r="E213" s="18" t="str">
        <x:v>F.N.F. (Let's Go)</x:v>
      </x:c>
      <x:c r="F213" s="18" t="str">
        <x:v>original single version</x:v>
      </x:c>
      <x:c r="G213" s="18" t="str">
        <x:v>Memphis</x:v>
      </x:c>
      <x:c r="H213" s="18" t="str">
        <x:v>women; Memphis; anthem</x:v>
      </x:c>
      <x:c r="I213" s="18" t="str">
        <x:v>Memphis woman-led breakout and chant architecture</x:v>
      </x:c>
      <x:c r="J213" s="18" t="str">
        <x:v>selected_main_route</x:v>
      </x:c>
      <x:c r="K213" s="18" t="str">
        <x:v>verified_soundcloud_catalog</x:v>
      </x:c>
      <x:c r="L213" s="18" t="str">
        <x:v>https://soundcloud.com/hitkidd/f-n-f-lets-go</x:v>
      </x:c>
      <x:c r="M213" s="18" t="str">
        <x:v>resolved_exact</x:v>
      </x:c>
      <x:c r="N213" s="18" t="str">
        <x:v>https://soundcloud.com/hitkidd/f-n-f-lets-go</x:v>
      </x:c>
      <x:c r="O213" s="18" t="n">
        <x:v>1261791385</x:v>
      </x:c>
      <x:c r="P213" s="18" t="str">
        <x:v>Hitkidd</x:v>
      </x:c>
      <x:c r="Q213" s="18" t="n">
        <x:v>137613</x:v>
      </x:c>
      <x:c r="R213" s="18" t="str">
        <x:v>open_or_monetized</x:v>
      </x:c>
      <x:c r="S213" s="18" t="str">
        <x:v>Structured SoundCloud catalog metadata matches artist, title, and intended unaltered version.</x:v>
      </x:c>
      <x:c r="T213" s="18" t="str">
        <x:v>track-212</x:v>
      </x:c>
      <x:c r="U213" s="18" t="str">
        <x:v>Use original rather than later remix</x:v>
      </x:c>
    </x:row>
    <x:row r="214">
      <x:c r="A214" s="18" t="n">
        <x:v>213</x:v>
      </x:c>
      <x:c r="B214" s="18" t="str">
        <x:v>HH12</x:v>
      </x:c>
      <x:c r="C214" s="18" t="n">
        <x:v>2020</x:v>
      </x:c>
      <x:c r="D214" s="18" t="str">
        <x:v>Headie One featuring AJ Tracey and Stormzy</x:v>
      </x:c>
      <x:c r="E214" s="18" t="str">
        <x:v>Ain't It Different</x:v>
      </x:c>
      <x:c r="F214" s="18" t="str">
        <x:v>original Edna album version</x:v>
      </x:c>
      <x:c r="G214" s="18" t="str">
        <x:v>London / United Kingdom</x:v>
      </x:c>
      <x:c r="H214" s="18" t="str">
        <x:v>UK-drill; collaboration; sample</x:v>
      </x:c>
      <x:c r="I214" s="18" t="str">
        <x:v>UK drill's mainstream integration and cross-generational MC exchange</x:v>
      </x:c>
      <x:c r="J214" s="18" t="str">
        <x:v>selected_main_route</x:v>
      </x:c>
      <x:c r="K214" s="18" t="str">
        <x:v>verified_musicbrainz</x:v>
      </x:c>
      <x:c r="L214" s="18" t="str">
        <x:v>https://musicbrainz.org/recording/02da71ec-9712-4012-8feb-d336a6858da5</x:v>
      </x:c>
      <x:c r="M214" s="18" t="str">
        <x:v>resolved_exact</x:v>
      </x:c>
      <x:c r="N214" s="18" t="str">
        <x:v>https://soundcloud.com/headieone/headie-one-feat-aj-tracey-1</x:v>
      </x:c>
      <x:c r="O214" s="18" t="n">
        <x:v>874631242</x:v>
      </x:c>
      <x:c r="P214" s="18" t="str">
        <x:v>Headie One</x:v>
      </x:c>
      <x:c r="Q214" s="18" t="n">
        <x:v>196415</x:v>
      </x:c>
      <x:c r="R214" s="18" t="str">
        <x:v>open_or_monetized</x:v>
      </x:c>
      <x:c r="S214" s="18" t="str">
        <x:v>Structured SoundCloud catalog metadata matches artist, title, and intended unaltered version.</x:v>
      </x:c>
      <x:c r="T214" s="18" t="str">
        <x:v>track-213</x:v>
      </x:c>
      <x:c r="U214" s="18" t="str">
        <x:v>Feature and sample audit</x:v>
      </x:c>
    </x:row>
    <x:row r="215">
      <x:c r="A215" s="18" t="n">
        <x:v>214</x:v>
      </x:c>
      <x:c r="B215" s="18" t="str">
        <x:v>HH12</x:v>
      </x:c>
      <x:c r="C215" s="18" t="n">
        <x:v>2024</x:v>
      </x:c>
      <x:c r="D215" s="18" t="str">
        <x:v>Kneecap</x:v>
      </x:c>
      <x:c r="E215" s="18" t="str">
        <x:v>Sick In The Head</x:v>
      </x:c>
      <x:c r="F215" s="18" t="str">
        <x:v>original Fine Art album version</x:v>
      </x:c>
      <x:c r="G215" s="18" t="str">
        <x:v>Belfast / Ireland</x:v>
      </x:c>
      <x:c r="H215" s="18" t="str">
        <x:v>Irish-language; political; global</x:v>
      </x:c>
      <x:c r="I215" s="18" t="str">
        <x:v>Irish-English rap satire local identity and album-scale scene breakthrough</x:v>
      </x:c>
      <x:c r="J215" s="18" t="str">
        <x:v>selected_main_route</x:v>
      </x:c>
      <x:c r="K215" s="18" t="str">
        <x:v>verified_artist_or_label</x:v>
      </x:c>
      <x:c r="L215" s="18" t="str">
        <x:v>https://kneecap.bandcamp.com/album/fine-art</x:v>
      </x:c>
      <x:c r="M215" s="18" t="str">
        <x:v>resolved_exact</x:v>
      </x:c>
      <x:c r="N215" s="18" t="str">
        <x:v>https://soundcloud.com/kneecapmusic/sick-in-the-head</x:v>
      </x:c>
      <x:c r="O215" s="18" t="n">
        <x:v>2095797429</x:v>
      </x:c>
      <x:c r="P215" s="18" t="str">
        <x:v>KNEECAP</x:v>
      </x:c>
      <x:c r="Q215" s="18" t="n">
        <x:v>152242</x:v>
      </x:c>
      <x:c r="R215" s="18" t="str">
        <x:v>subscriber_catalog</x:v>
      </x:c>
      <x:c r="S215" s="18" t="str">
        <x:v>Artist-catalog album recording; the later soundtrack entry and remix were rejected.</x:v>
      </x:c>
      <x:c r="T215" s="18" t="str">
        <x:v>track-214</x:v>
      </x:c>
      <x:c r="U215" s="18" t="str">
        <x:v>Artist Bandcamp verifies the 2024 recording and album</x:v>
      </x:c>
    </x:row>
    <x:row r="216">
      <x:c r="A216" s="18" t="n">
        <x:v>215</x:v>
      </x:c>
      <x:c r="B216" s="18" t="str">
        <x:v>HH12</x:v>
      </x:c>
      <x:c r="C216" s="18" t="n">
        <x:v>2021</x:v>
      </x:c>
      <x:c r="D216" s="18" t="str">
        <x:v>Lala &amp;ce</x:v>
      </x:c>
      <x:c r="E216" s="18" t="str">
        <x:v>Show Me Love</x:v>
      </x:c>
      <x:c r="F216" s="18" t="str">
        <x:v>original Everything Tasteful version</x:v>
      </x:c>
      <x:c r="G216" s="18" t="str">
        <x:v>France / Côte d'Ivoire diaspora</x:v>
      </x:c>
      <x:c r="H216" s="18" t="str">
        <x:v>women; queer; French-rap; cloud</x:v>
      </x:c>
      <x:c r="I216" s="18" t="str">
        <x:v>Queer diasporic French rap and atmospheric vocal form</x:v>
      </x:c>
      <x:c r="J216" s="18" t="str">
        <x:v>selected_main_route</x:v>
      </x:c>
      <x:c r="K216" s="18" t="str">
        <x:v>verified_musicbrainz</x:v>
      </x:c>
      <x:c r="L216" s="18" t="str">
        <x:v>https://musicbrainz.org/recording/c7c52871-26f5-4e86-b976-9fbedd242e05</x:v>
      </x:c>
      <x:c r="M216" s="18" t="str">
        <x:v>resolved_exact</x:v>
      </x:c>
      <x:c r="N216" s="18" t="str">
        <x:v>https://soundcloud.com/lala-ace-667/show-me-love</x:v>
      </x:c>
      <x:c r="O216" s="18" t="n">
        <x:v>947396872</x:v>
      </x:c>
      <x:c r="P216" s="18" t="str">
        <x:v>lala &amp;ce</x:v>
      </x:c>
      <x:c r="Q216" s="18" t="n">
        <x:v>161567</x:v>
      </x:c>
      <x:c r="R216" s="18" t="str">
        <x:v>open_or_monetized</x:v>
      </x:c>
      <x:c r="S216" s="18" t="str">
        <x:v>Structured SoundCloud catalog metadata matches artist, title, and intended unaltered version.</x:v>
      </x:c>
      <x:c r="T216" s="18" t="str">
        <x:v>track-215</x:v>
      </x:c>
      <x:c r="U216" s="18" t="str">
        <x:v>Translation/context required</x:v>
      </x:c>
    </x:row>
    <x:row r="217">
      <x:c r="A217" s="18" t="n">
        <x:v>216</x:v>
      </x:c>
      <x:c r="B217" s="18" t="str">
        <x:v>HH12</x:v>
      </x:c>
      <x:c r="C217" s="18" t="n">
        <x:v>2022</x:v>
      </x:c>
      <x:c r="D217" s="18" t="str">
        <x:v>Black Sherif</x:v>
      </x:c>
      <x:c r="E217" s="18" t="str">
        <x:v>Kwaku the Traveller</x:v>
      </x:c>
      <x:c r="F217" s="18" t="str">
        <x:v>original single/The Villain I Never Was version</x:v>
      </x:c>
      <x:c r="G217" s="18" t="str">
        <x:v>Ghana</x:v>
      </x:c>
      <x:c r="H217" s="18" t="str">
        <x:v>Ghanaian-rap; melodic; global</x:v>
      </x:c>
      <x:c r="I217" s="18" t="str">
        <x:v>Ghanaian narrative voice between rap and local popular music</x:v>
      </x:c>
      <x:c r="J217" s="18" t="str">
        <x:v>selected_main_route</x:v>
      </x:c>
      <x:c r="K217" s="18" t="str">
        <x:v>verified_musicbrainz</x:v>
      </x:c>
      <x:c r="L217" s="18" t="str">
        <x:v>https://musicbrainz.org/recording/b28a454c-1e0c-4255-be17-9a8344f5bc6e</x:v>
      </x:c>
      <x:c r="M217" s="18" t="str">
        <x:v>resolved_exact</x:v>
      </x:c>
      <x:c r="N217" s="18" t="str">
        <x:v>https://soundcloud.com/blacksherif/kweku-the-traveler</x:v>
      </x:c>
      <x:c r="O217" s="18" t="n">
        <x:v>1229321974</x:v>
      </x:c>
      <x:c r="P217" s="18" t="str">
        <x:v>Black Sherif</x:v>
      </x:c>
      <x:c r="Q217" s="18" t="n">
        <x:v>185391</x:v>
      </x:c>
      <x:c r="R217" s="18" t="str">
        <x:v>open_or_monetized</x:v>
      </x:c>
      <x:c r="S217" s="18" t="str">
        <x:v>Structured SoundCloud catalog metadata matches artist, title, and intended unaltered version.</x:v>
      </x:c>
      <x:c r="T217" s="18" t="str">
        <x:v>track-216</x:v>
      </x:c>
      <x:c r="U217" s="18" t="str">
        <x:v>Boundary and version audit</x:v>
      </x:c>
    </x:row>
    <x:row r="218">
      <x:c r="A218" s="18" t="n">
        <x:v>217</x:v>
      </x:c>
      <x:c r="B218" s="18" t="str">
        <x:v>HH12</x:v>
      </x:c>
      <x:c r="C218" s="18" t="n">
        <x:v>2021</x:v>
      </x:c>
      <x:c r="D218" s="18" t="str">
        <x:v>Blxckie</x:v>
      </x:c>
      <x:c r="E218" s="18" t="str">
        <x:v>Ye x4</x:v>
      </x:c>
      <x:c r="F218" s="18" t="str">
        <x:v>original B4Now version</x:v>
      </x:c>
      <x:c r="G218" s="18" t="str">
        <x:v>Durban / South Africa</x:v>
      </x:c>
      <x:c r="H218" s="18" t="str">
        <x:v>South-African-rap; trap; multilingual</x:v>
      </x:c>
      <x:c r="I218" s="18" t="str">
        <x:v>South African melodic trap localization and youth scene</x:v>
      </x:c>
      <x:c r="J218" s="18" t="str">
        <x:v>selected_main_route</x:v>
      </x:c>
      <x:c r="K218" s="18" t="str">
        <x:v>verified_musicbrainz</x:v>
      </x:c>
      <x:c r="L218" s="18" t="str">
        <x:v>https://musicbrainz.org/recording/f7b52b68-efd6-4e0a-b2b2-203736b3f767</x:v>
      </x:c>
      <x:c r="M218" s="18" t="str">
        <x:v>resolved_exact</x:v>
      </x:c>
      <x:c r="N218" s="18" t="str">
        <x:v>https://soundcloud.com/blxckie/ye-x4</x:v>
      </x:c>
      <x:c r="O218" s="18" t="n">
        <x:v>1074273490</x:v>
      </x:c>
      <x:c r="P218" s="18" t="str">
        <x:v>blxckie</x:v>
      </x:c>
      <x:c r="Q218" s="18" t="n">
        <x:v>165486</x:v>
      </x:c>
      <x:c r="R218" s="18" t="str">
        <x:v>subscriber_catalog</x:v>
      </x:c>
      <x:c r="S218" s="18" t="str">
        <x:v>Structured SoundCloud catalog metadata matches artist, title, and intended unaltered version.</x:v>
      </x:c>
      <x:c r="T218" s="18" t="str">
        <x:v>track-217</x:v>
      </x:c>
      <x:c r="U218" s="18" t="str">
        <x:v>Language/metadata audit</x:v>
      </x:c>
    </x:row>
    <x:row r="219">
      <x:c r="A219" s="18" t="n">
        <x:v>218</x:v>
      </x:c>
      <x:c r="B219" s="18" t="str">
        <x:v>HH12</x:v>
      </x:c>
      <x:c r="C219" s="18" t="n">
        <x:v>2023</x:v>
      </x:c>
      <x:c r="D219" s="18" t="str">
        <x:v>MC Yallah and Debmaster</x:v>
      </x:c>
      <x:c r="E219" s="18" t="str">
        <x:v>Sikwebela</x:v>
      </x:c>
      <x:c r="F219" s="18" t="str">
        <x:v>original Yallah Beibe version</x:v>
      </x:c>
      <x:c r="G219" s="18" t="str">
        <x:v>Uganda / Kenya</x:v>
      </x:c>
      <x:c r="H219" s="18" t="str">
        <x:v>women; African-hip-hop; experimental</x:v>
      </x:c>
      <x:c r="I219" s="18" t="str">
        <x:v>Multilingual flow and East African experimental producer circuit</x:v>
      </x:c>
      <x:c r="J219" s="18" t="str">
        <x:v>selected_main_route</x:v>
      </x:c>
      <x:c r="K219" s="18" t="str">
        <x:v>verified_artist_or_label</x:v>
      </x:c>
      <x:c r="L219" s="18" t="str">
        <x:v>https://hakunakulala.bandcamp.com/track/sikwebela</x:v>
      </x:c>
      <x:c r="M219" s="18" t="str">
        <x:v>resolved_exact</x:v>
      </x:c>
      <x:c r="N219" s="18" t="str">
        <x:v>https://soundcloud.com/user-724951916/sikwebela</x:v>
      </x:c>
      <x:c r="O219" s="18" t="n">
        <x:v>1442001652</x:v>
      </x:c>
      <x:c r="P219" s="18" t="str">
        <x:v>Mc Yallah</x:v>
      </x:c>
      <x:c r="Q219" s="18" t="n">
        <x:v>149342</x:v>
      </x:c>
      <x:c r="R219" s="18" t="str">
        <x:v>open_or_monetized</x:v>
      </x:c>
      <x:c r="S219" s="18" t="str">
        <x:v>Structured SoundCloud catalog metadata matches artist, title, and intended unaltered version.</x:v>
      </x:c>
      <x:c r="T219" s="18" t="str">
        <x:v>track-218</x:v>
      </x:c>
      <x:c r="U219" s="18" t="str">
        <x:v>Label Bandcamp verifies title date album and Debmaster production</x:v>
      </x:c>
    </x:row>
    <x:row r="220">
      <x:c r="A220" s="18" t="n">
        <x:v>219</x:v>
      </x:c>
      <x:c r="B220" s="18" t="str">
        <x:v>HH12</x:v>
      </x:c>
      <x:c r="C220" s="18" t="n">
        <x:v>2020</x:v>
      </x:c>
      <x:c r="D220" s="18" t="str">
        <x:v>Barkaa</x:v>
      </x:c>
      <x:c r="E220" s="18" t="str">
        <x:v>King Brown</x:v>
      </x:c>
      <x:c r="F220" s="18" t="str">
        <x:v>original single version</x:v>
      </x:c>
      <x:c r="G220" s="18" t="str">
        <x:v>Malyangapa / Australia</x:v>
      </x:c>
      <x:c r="H220" s="18" t="str">
        <x:v>women; Indigenous; Australian-rap; political</x:v>
      </x:c>
      <x:c r="I220" s="18" t="str">
        <x:v>Indigenous Australian woman authority and anti-colonial local scene</x:v>
      </x:c>
      <x:c r="J220" s="18" t="str">
        <x:v>selected_main_route</x:v>
      </x:c>
      <x:c r="K220" s="18" t="str">
        <x:v>verified_musicbrainz</x:v>
      </x:c>
      <x:c r="L220" s="18" t="str">
        <x:v>https://musicbrainz.org/recording/50bd13f4-7155-4cb4-bb01-d43b83567d2b</x:v>
      </x:c>
      <x:c r="M220" s="18" t="str">
        <x:v>resolved_exact</x:v>
      </x:c>
      <x:c r="N220" s="18" t="str">
        <x:v>https://soundcloud.com/user-824082232/king-brown</x:v>
      </x:c>
      <x:c r="O220" s="18" t="n">
        <x:v>1079881252</x:v>
      </x:c>
      <x:c r="P220" s="18" t="str">
        <x:v>BARKAA</x:v>
      </x:c>
      <x:c r="Q220" s="18" t="n">
        <x:v>185731</x:v>
      </x:c>
      <x:c r="R220" s="18" t="str">
        <x:v>open_or_monetized</x:v>
      </x:c>
      <x:c r="S220" s="18" t="str">
        <x:v>Structured SoundCloud catalog metadata matches artist, title, and intended unaltered version.</x:v>
      </x:c>
      <x:c r="T220" s="18" t="str">
        <x:v>track-219</x:v>
      </x:c>
      <x:c r="U220" s="18" t="str">
        <x:v>Identity terminology and version audit</x:v>
      </x:c>
    </x:row>
    <x:row r="221">
      <x:c r="A221" s="19" t="n">
        <x:v>220</x:v>
      </x:c>
      <x:c r="B221" s="19" t="str">
        <x:v>HH12</x:v>
      </x:c>
      <x:c r="C221" s="19" t="n">
        <x:v>2020</x:v>
      </x:c>
      <x:c r="D221" s="19" t="str">
        <x:v>Seedhe Maut</x:v>
      </x:c>
      <x:c r="E221" s="19" t="str">
        <x:v>Namastute</x:v>
      </x:c>
      <x:c r="F221" s="19" t="str">
        <x:v>original single version</x:v>
      </x:c>
      <x:c r="G221" s="19" t="str">
        <x:v>Delhi / India</x:v>
      </x:c>
      <x:c r="H221" s="19" t="str">
        <x:v>Indian-rap; Hindi; duo</x:v>
      </x:c>
      <x:c r="I221" s="19" t="str">
        <x:v>Hindi duo interplay and independent Indian scene scale</x:v>
      </x:c>
      <x:c r="J221" s="19" t="str">
        <x:v>selected_main_route</x:v>
      </x:c>
      <x:c r="K221" s="19" t="str">
        <x:v>verified_musicbrainz</x:v>
      </x:c>
      <x:c r="L221" s="19" t="str">
        <x:v>https://musicbrainz.org/recording/7c3b0ffb-498d-4236-a8e6-3503988c9c06</x:v>
      </x:c>
      <x:c r="M221" s="19" t="str">
        <x:v>resolved_exact</x:v>
      </x:c>
      <x:c r="N221" s="19" t="str">
        <x:v>https://soundcloud.com/azadirecords/namastute-seedhe-maut</x:v>
      </x:c>
      <x:c r="O221" s="19" t="n">
        <x:v>986769208</x:v>
      </x:c>
      <x:c r="P221" s="19" t="str">
        <x:v>Azadi Records</x:v>
      </x:c>
      <x:c r="Q221" s="19" t="n">
        <x:v>120216</x:v>
      </x:c>
      <x:c r="R221" s="19" t="str">
        <x:v>open_or_monetized</x:v>
      </x:c>
      <x:c r="S221" s="19" t="str">
        <x:v>Structured SoundCloud catalog metadata matches artist, title, and intended unaltered version.</x:v>
      </x:c>
      <x:c r="T221" s="19" t="str">
        <x:v>track-220</x:v>
      </x:c>
      <x:c r="U221" s="19" t="str">
        <x:v>Production and translation notes required</x:v>
      </x:c>
    </x:row>
  </x:sheetData>
  <x:conditionalFormatting sqref="M2:M221">
    <x:cfRule type="containsText" dxfId="0" priority="1" operator="containsText" text="resolved"/>
    <x:cfRule type="containsText" dxfId="1" priority="2" operator="containsText" text="unavailable"/>
  </x:conditionalFormatting>
  <x:conditionalFormatting sqref="K2:K221">
    <x:cfRule type="containsText" dxfId="2" priority="3" operator="containsText" text="incomplete"/>
  </x:conditionalFormatting>
  <x:pageMargins left="0.7" right="0.7" top="0.75" bottom="0.75" header="0.3" footer="0.3"/>
  <x:tableParts count="1">
    <x:tablePart xmlns:r="http://schemas.openxmlformats.org/officeDocument/2006/relationships" r:id="R1de28a6879644531"/>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0" hidden="0" customWidth="1"/>
    <x:col min="3" max="3" width="34" hidden="0" customWidth="1"/>
    <x:col min="4" max="4" width="38" hidden="0" customWidth="1"/>
    <x:col min="5" max="5" width="62" hidden="0" customWidth="1"/>
    <x:col min="6" max="6" width="18" hidden="0" customWidth="1"/>
  </x:cols>
  <x:sheetData>
    <x:row r="1">
      <x:c r="A1" s="21" t="str">
        <x:v>position</x:v>
      </x:c>
      <x:c r="B1" s="21" t="str">
        <x:v>artist</x:v>
      </x:c>
      <x:c r="C1" s="21" t="str">
        <x:v>title</x:v>
      </x:c>
      <x:c r="D1" s="21" t="str">
        <x:v>intended_version</x:v>
      </x:c>
      <x:c r="E1" s="21" t="str">
        <x:v>reason</x:v>
      </x:c>
      <x:c r="F1" s="21" t="str">
        <x:v>guide_anchor</x:v>
      </x:c>
    </x:row>
    <x:row r="2">
      <x:c r="A2" s="17" t="n">
        <x:v>6</x:v>
      </x:c>
      <x:c r="B2" s="17" t="str">
        <x:v>The Watts Prophets</x:v>
      </x:c>
      <x:c r="C2" s="17" t="str">
        <x:v>Dem Niggers Ain't Playing</x:v>
      </x:c>
      <x:c r="D2" s="17" t="str">
        <x:v>original album version</x:v>
      </x:c>
      <x:c r="E2" s="17" t="str">
        <x:v>Only a mashup and uncertain user uploads were found; no exact original-album recording is accepted.</x:v>
      </x:c>
      <x:c r="F2" s="17" t="str">
        <x:v>track-006</x:v>
      </x:c>
    </x:row>
    <x:row r="3">
      <x:c r="A3" s="18" t="n">
        <x:v>14</x:v>
      </x:c>
      <x:c r="B3" s="18" t="str">
        <x:v>Furious Four</x:v>
      </x:c>
      <x:c r="C3" s="18" t="str">
        <x:v>Live at Mitchell Gym</x:v>
      </x:c>
      <x:c r="D3" s="18" t="str">
        <x:v>Cornell Troy L. Smith tape 184 side B</x:v>
      </x:c>
      <x:c r="E3" s="18" t="str">
        <x:v>Cornell tape 184 side B is documented but no exact SoundCloud upload was found.</x:v>
      </x:c>
      <x:c r="F3" s="18" t="str">
        <x:v>track-014</x:v>
      </x:c>
    </x:row>
    <x:row r="4">
      <x:c r="A4" s="18" t="n">
        <x:v>15</x:v>
      </x:c>
      <x:c r="B4" s="18" t="str">
        <x:v>Funky Four</x:v>
      </x:c>
      <x:c r="C4" s="18" t="str">
        <x:v>Live at unknown location</x:v>
      </x:c>
      <x:c r="D4" s="18" t="str">
        <x:v>Cornell Troy L. Smith tape 230 side A</x:v>
      </x:c>
      <x:c r="E4" s="18" t="str">
        <x:v>Cornell tape 230 side A is documented but no exact SoundCloud upload was found.</x:v>
      </x:c>
      <x:c r="F4" s="18" t="str">
        <x:v>track-015</x:v>
      </x:c>
    </x:row>
    <x:row r="5">
      <x:c r="A5" s="18" t="n">
        <x:v>16</x:v>
      </x:c>
      <x:c r="B5" s="18" t="str">
        <x:v>Afrika Bambaataa and associated crews</x:v>
      </x:c>
      <x:c r="C5" s="18" t="str">
        <x:v>Birthday Party for DJ Kool Herc at 1590 Jerome Avenue</x:v>
      </x:c>
      <x:c r="D5" s="18" t="str">
        <x:v>complete documented event recording if accessible</x:v>
      </x:c>
      <x:c r="E5" s="18" t="str">
        <x:v>The documented event recording was not found as an exact SoundCloud upload.</x:v>
      </x:c>
      <x:c r="F5" s="18" t="str">
        <x:v>track-016</x:v>
      </x:c>
    </x:row>
    <x:row r="6">
      <x:c r="A6" s="18" t="n">
        <x:v>17</x:v>
      </x:c>
      <x:c r="B6" s="18" t="str">
        <x:v>Grandmaster Flowers</x:v>
      </x:c>
      <x:c r="C6" s="18" t="str">
        <x:v>Live at St. Marks Park Brooklyn</x:v>
      </x:c>
      <x:c r="D6" s="18" t="str">
        <x:v>Cornell Troy L. Smith tape 98</x:v>
      </x:c>
      <x:c r="E6" s="18" t="str">
        <x:v>Cornell tape 98 is documented but no exact SoundCloud upload was found.</x:v>
      </x:c>
      <x:c r="F6" s="18" t="str">
        <x:v>track-017</x:v>
      </x:c>
    </x:row>
    <x:row r="7">
      <x:c r="A7" s="18" t="n">
        <x:v>18</x:v>
      </x:c>
      <x:c r="B7" s="18" t="str">
        <x:v>Cold Crush Four and Disco Enforcers</x:v>
      </x:c>
      <x:c r="C7" s="18" t="str">
        <x:v>Live at T-Connection</x:v>
      </x:c>
      <x:c r="D7" s="18" t="str">
        <x:v>Cornell Troy L. Smith tape 8</x:v>
      </x:c>
      <x:c r="E7" s="18" t="str">
        <x:v>Cornell tape 8 is documented but no exact SoundCloud upload was found.</x:v>
      </x:c>
      <x:c r="F7" s="18" t="str">
        <x:v>track-018</x:v>
      </x:c>
    </x:row>
    <x:row r="8">
      <x:c r="A8" s="18" t="n">
        <x:v>19</x:v>
      </x:c>
      <x:c r="B8" s="18" t="str">
        <x:v>DJ Hollywood</x:v>
      </x:c>
      <x:c r="C8" s="18" t="str">
        <x:v>Live club routine</x:v>
      </x:c>
      <x:c r="D8" s="18" t="str">
        <x:v>best-authenticated complete 1970s club tape</x:v>
      </x:c>
      <x:c r="E8" s="18" t="str">
        <x:v>Search results belong to a contemporary DJ using the same name; no authenticated 1970s club tape was accepted.</x:v>
      </x:c>
      <x:c r="F8" s="18" t="str">
        <x:v>track-019</x:v>
      </x:c>
    </x:row>
    <x:row r="9">
      <x:c r="A9" s="18" t="n">
        <x:v>20</x:v>
      </x:c>
      <x:c r="B9" s="18" t="str">
        <x:v>Disco Twins and Infinity Machine</x:v>
      </x:c>
      <x:c r="C9" s="18" t="str">
        <x:v>Live party recording</x:v>
      </x:c>
      <x:c r="D9" s="18" t="str">
        <x:v>best-authenticated surviving 1970s tape</x:v>
      </x:c>
      <x:c r="E9" s="18" t="str">
        <x:v>No authenticated surviving 1970s Disco Twins and Infinity Machine tape was found on SoundCloud.</x:v>
      </x:c>
      <x:c r="F9" s="18" t="str">
        <x:v>track-020</x:v>
      </x:c>
    </x:row>
    <x:row r="10">
      <x:c r="A10" s="18" t="n">
        <x:v>38</x:v>
      </x:c>
      <x:c r="B10" s="18" t="str">
        <x:v>Newtrament</x:v>
      </x:c>
      <x:c r="C10" s="18" t="str">
        <x:v>London Bridge Is Falling Down</x:v>
      </x:c>
      <x:c r="D10" s="18" t="str">
        <x:v>original 12-inch version</x:v>
      </x:c>
      <x:c r="E10" s="18" t="str">
        <x:v>Search results with this generic title were unrelated nursery-rhyme recordings; no Newtrament original was accepted.</x:v>
      </x:c>
      <x:c r="F10" s="18" t="str">
        <x:v>track-038</x:v>
      </x:c>
    </x:row>
    <x:row r="11">
      <x:c r="A11" s="18" t="n">
        <x:v>56</x:v>
      </x:c>
      <x:c r="B11" s="18" t="str">
        <x:v>Hijack</x:v>
      </x:c>
      <x:c r="C11" s="18" t="str">
        <x:v>Style Wars</x:v>
      </x:c>
      <x:c r="D11" s="18" t="str">
        <x:v>original 12-inch version</x:v>
      </x:c>
      <x:c r="E11" s="18" t="str">
        <x:v>Only later chillwave mixes and unrelated same-title recordings were found.</x:v>
      </x:c>
      <x:c r="F11" s="18" t="str">
        <x:v>track-056</x:v>
      </x:c>
    </x:row>
    <x:row r="12">
      <x:c r="A12" s="18" t="n">
        <x:v>67</x:v>
      </x:c>
      <x:c r="B12" s="18" t="str">
        <x:v>Ice-T</x:v>
      </x:c>
      <x:c r="C12" s="18" t="str">
        <x:v>Colors</x:v>
      </x:c>
      <x:c r="D12" s="18" t="str">
        <x:v>original soundtrack version</x:v>
      </x:c>
      <x:c r="E12" s="18" t="str">
        <x:v>The artist-catalog entry is explicitly a 2014 remaster and user results were uncertain; the original soundtrack master remains guide-only.</x:v>
      </x:c>
      <x:c r="F12" s="18" t="str">
        <x:v>track-067</x:v>
      </x:c>
    </x:row>
    <x:row r="13">
      <x:c r="A13" s="18" t="n">
        <x:v>78</x:v>
      </x:c>
      <x:c r="B13" s="18" t="str">
        <x:v>Prophets of Da City</x:v>
      </x:c>
      <x:c r="C13" s="18" t="str">
        <x:v>Our World</x:v>
      </x:c>
      <x:c r="D13" s="18" t="str">
        <x:v>original album version</x:v>
      </x:c>
      <x:c r="E13" s="18" t="str">
        <x:v>No Prophets of Da City recording matching this title was found; same-title results were unrelated.</x:v>
      </x:c>
      <x:c r="F13" s="18" t="str">
        <x:v>track-078</x:v>
      </x:c>
    </x:row>
    <x:row r="14">
      <x:c r="A14" s="18" t="n">
        <x:v>79</x:v>
      </x:c>
      <x:c r="B14" s="18" t="str">
        <x:v>London Posse</x:v>
      </x:c>
      <x:c r="C14" s="18" t="str">
        <x:v>Money Mad</x:v>
      </x:c>
      <x:c r="D14" s="18" t="str">
        <x:v>original version</x:v>
      </x:c>
      <x:c r="E14" s="18" t="str">
        <x:v>The artist catalog exposes later remixes, not the intended original.</x:v>
      </x:c>
      <x:c r="F14" s="18" t="str">
        <x:v>track-079</x:v>
      </x:c>
    </x:row>
    <x:row r="15">
      <x:c r="A15" s="18" t="n">
        <x:v>86</x:v>
      </x:c>
      <x:c r="B15" s="18" t="str">
        <x:v>The Notorious B.I.G.</x:v>
      </x:c>
      <x:c r="C15" s="18" t="str">
        <x:v>Warning</x:v>
      </x:c>
      <x:c r="D15" s="18" t="str">
        <x:v>original Ready to Die album version</x:v>
      </x:c>
      <x:c r="E15" s="18" t="str">
        <x:v>The artist-catalog entry is explicitly a 2005 remaster; the original album master remains guide-only.</x:v>
      </x:c>
      <x:c r="F15" s="18" t="str">
        <x:v>track-086</x:v>
      </x:c>
    </x:row>
    <x:row r="16">
      <x:c r="A16" s="18" t="n">
        <x:v>90</x:v>
      </x:c>
      <x:c r="B16" s="18" t="str">
        <x:v>The Coup</x:v>
      </x:c>
      <x:c r="C16" s="18" t="str">
        <x:v>Dig It!</x:v>
      </x:c>
      <x:c r="D16" s="18" t="str">
        <x:v>original album version</x:v>
      </x:c>
      <x:c r="E16" s="18" t="str">
        <x:v>Only an edit and unrelated same-title recordings were found.</x:v>
      </x:c>
      <x:c r="F16" s="18" t="str">
        <x:v>track-090</x:v>
      </x:c>
    </x:row>
    <x:row r="17">
      <x:c r="A17" s="18" t="n">
        <x:v>93</x:v>
      </x:c>
      <x:c r="B17" s="18" t="str">
        <x:v>UGK</x:v>
      </x:c>
      <x:c r="C17" s="18" t="str">
        <x:v>One Day</x:v>
      </x:c>
      <x:c r="D17" s="18" t="str">
        <x:v>original Ridin' Dirty album version</x:v>
      </x:c>
      <x:c r="E17" s="18" t="str">
        <x:v>The artist catalog offers a radio version and the user uploads did not securely match the album master.</x:v>
      </x:c>
      <x:c r="F17" s="18" t="str">
        <x:v>track-093</x:v>
      </x:c>
    </x:row>
    <x:row r="18">
      <x:c r="A18" s="18" t="n">
        <x:v>94</x:v>
      </x:c>
      <x:c r="B18" s="18" t="str">
        <x:v>Three 6 Mafia</x:v>
      </x:c>
      <x:c r="C18" s="18" t="str">
        <x:v>Da Summa</x:v>
      </x:c>
      <x:c r="D18" s="18" t="str">
        <x:v>original Mystic Stylez album version</x:v>
      </x:c>
      <x:c r="E18" s="18" t="str">
        <x:v>Only chopped-and-screwed or otherwise altered uploads were found.</x:v>
      </x:c>
      <x:c r="F18" s="18" t="str">
        <x:v>track-094</x:v>
      </x:c>
    </x:row>
    <x:row r="19">
      <x:c r="A19" s="18" t="n">
        <x:v>95</x:v>
      </x:c>
      <x:c r="B19" s="18" t="str">
        <x:v>DJ Screw and Screwed Up Click</x:v>
      </x:c>
      <x:c r="C19" s="18" t="str">
        <x:v>June 27th Freestyle</x:v>
      </x:c>
      <x:c r="D19" s="18" t="str">
        <x:v>original June 27 mixtape performance</x:v>
      </x:c>
      <x:c r="E19" s="18" t="str">
        <x:v>Search results did not establish an exact DJ Screw and Screwed Up Click June 27 performance.</x:v>
      </x:c>
      <x:c r="F19" s="18" t="str">
        <x:v>track-095</x:v>
      </x:c>
    </x:row>
    <x:row r="20">
      <x:c r="A20" s="18" t="n">
        <x:v>104</x:v>
      </x:c>
      <x:c r="B20" s="18" t="str">
        <x:v>Prophets of Da City</x:v>
      </x:c>
      <x:c r="C20" s="18" t="str">
        <x:v>Never Again</x:v>
      </x:c>
      <x:c r="D20" s="18" t="str">
        <x:v>original Age of Truth version</x:v>
      </x:c>
      <x:c r="E20" s="18" t="str">
        <x:v>The available user upload could not be matched securely to the original album master.</x:v>
      </x:c>
      <x:c r="F20" s="18" t="str">
        <x:v>track-104</x:v>
      </x:c>
    </x:row>
    <x:row r="21">
      <x:c r="A21" s="18" t="n">
        <x:v>106</x:v>
      </x:c>
      <x:c r="B21" s="18" t="str">
        <x:v>Positive Black Soul</x:v>
      </x:c>
      <x:c r="C21" s="18" t="str">
        <x:v>Boul ma mine</x:v>
      </x:c>
      <x:c r="D21" s="18" t="str">
        <x:v>preferred original version</x:v>
      </x:c>
      <x:c r="E21" s="18" t="str">
        <x:v>No exact Positive Black Soul recording was found; same-title results were unrelated.</x:v>
      </x:c>
      <x:c r="F21" s="18" t="str">
        <x:v>track-106</x:v>
      </x:c>
    </x:row>
    <x:row r="22">
      <x:c r="A22" s="18" t="n">
        <x:v>137</x:v>
      </x:c>
      <x:c r="B22" s="18" t="str">
        <x:v>Cam'ron</x:v>
      </x:c>
      <x:c r="C22" s="18" t="str">
        <x:v>I Really Mean It</x:v>
      </x:c>
      <x:c r="D22" s="18" t="str">
        <x:v>original Come Home with Me album version</x:v>
      </x:c>
      <x:c r="E22" s="18" t="str">
        <x:v>The artist-catalog result is the edited album version, not the intended explicit album master.</x:v>
      </x:c>
      <x:c r="F22" s="18" t="str">
        <x:v>track-137</x:v>
      </x:c>
    </x:row>
    <x:row r="23">
      <x:c r="A23" s="19" t="n">
        <x:v>150</x:v>
      </x:c>
      <x:c r="B23" s="19" t="str">
        <x:v>Daara J</x:v>
      </x:c>
      <x:c r="C23" s="19" t="str">
        <x:v>Exodus</x:v>
      </x:c>
      <x:c r="D23" s="19" t="str">
        <x:v>original Boomerang album version</x:v>
      </x:c>
      <x:c r="E23" s="19" t="str">
        <x:v>The apparent result is a different Napoleon recording featuring Daara J; no exact Boomerang album track was accepted.</x:v>
      </x:c>
      <x:c r="F23" s="19" t="str">
        <x:v>track-150</x:v>
      </x:c>
    </x:row>
  </x:sheetData>
  <x:pageMargins left="0.7" right="0.7" top="0.75" bottom="0.75" header="0.3" footer="0.3"/>
  <x:tableParts count="1">
    <x:tablePart xmlns:r="http://schemas.openxmlformats.org/officeDocument/2006/relationships" r:id="R43146137eb8545c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5" hidden="0" customWidth="1"/>
    <x:col min="3" max="3" width="68" hidden="0" customWidth="1"/>
  </x:cols>
  <x:sheetData>
    <x:row r="1">
      <x:c r="A1" s="10" t="str">
        <x:v>Source</x:v>
      </x:c>
      <x:c r="B1" s="10" t="str">
        <x:v>URL</x:v>
      </x:c>
      <x:c r="C1" s="10" t="str">
        <x:v>Use</x:v>
      </x:c>
    </x:row>
    <x:row r="2">
      <x:c r="A2" s="17" t="str">
        <x:v>Canonical track manifest</x:v>
      </x:c>
      <x:c r="B2" s="17" t="str">
        <x:v>/Users/wdlinch3/Documents/ChatGPT/music/hip-hop-field-guide/track_manifest.csv</x:v>
      </x:c>
      <x:c r="C2" s="17" t="str">
        <x:v>Exact order, versions, status, links, and anchors</x:v>
      </x:c>
    </x:row>
    <x:row r="3">
      <x:c r="A3" s="18" t="str">
        <x:v>MusicBrainz</x:v>
      </x:c>
      <x:c r="B3" s="18" t="str">
        <x:v>https://musicbrainz.org/</x:v>
      </x:c>
      <x:c r="C3" s="18" t="str">
        <x:v>Recording identity and first-release candidate checks</x:v>
      </x:c>
    </x:row>
    <x:row r="4">
      <x:c r="A4" s="18" t="str">
        <x:v>SoundCloud public catalog</x:v>
      </x:c>
      <x:c r="B4" s="18" t="str">
        <x:v>https://soundcloud.com/</x:v>
      </x:c>
      <x:c r="C4" s="18" t="str">
        <x:v>Track identity, uploader, duration, access policy, and current URL verification</x:v>
      </x:c>
    </x:row>
    <x:row r="5">
      <x:c r="A5" s="18" t="str">
        <x:v>Cornell Hip Hop Collection</x:v>
      </x:c>
      <x:c r="B5" s="18" t="str">
        <x:v>https://rmc.library.cornell.edu/hiphop/</x:v>
      </x:c>
      <x:c r="C5" s="18" t="str">
        <x:v>Early party-tape and live-culture authority</x:v>
      </x:c>
    </x:row>
    <x:row r="6">
      <x:c r="A6" s="18" t="str">
        <x:v>Smithsonian Anthology</x:v>
      </x:c>
      <x:c r="B6" s="18" t="str">
        <x:v>https://nmaahc.si.edu/explore/publications/smithsonian-anthology-hip-hop-and-rap</x:v>
      </x:c>
      <x:c r="C6" s="18" t="str">
        <x:v>Canonical and historical comparison</x:v>
      </x:c>
    </x:row>
    <x:row r="7">
      <x:c r="A7" s="19" t="str">
        <x:v>Method note</x:v>
      </x:c>
      <x:c r="B7" s="19" t="str"/>
      <x:c r="C7" s="19" t="str">
        <x:v>Release identity may be verified without claiming that a later platform date is the original release date. Unofficial uploads require title, artist evidence, duration, and version agreement; uncertainty remains literal.</x:v>
      </x:c>
    </x:row>
  </x:sheetData>
  <x:pageMargins left="0.7" right="0.7" top="0.75" bottom="0.75" header="0.3" footer="0.3"/>
</x:worksheet>
</file>